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89" firstSheet="7" activeTab="7" autoFilterDateGrouping="1"/>
  </bookViews>
  <sheets>
    <sheet xmlns:r="http://schemas.openxmlformats.org/officeDocument/2006/relationships" name="Change_Log_v3" sheetId="1" state="visible" r:id="rId1"/>
    <sheet xmlns:r="http://schemas.openxmlformats.org/officeDocument/2006/relationships" name="Platform_Bible" sheetId="2" state="visible" r:id="rId2"/>
    <sheet xmlns:r="http://schemas.openxmlformats.org/officeDocument/2006/relationships" name="Visual_Language" sheetId="3" state="visible" r:id="rId3"/>
    <sheet xmlns:r="http://schemas.openxmlformats.org/officeDocument/2006/relationships" name="Screen_Blueprint" sheetId="4" state="visible" r:id="rId4"/>
    <sheet xmlns:r="http://schemas.openxmlformats.org/officeDocument/2006/relationships" name="Workflow_Blueprint" sheetId="5" state="visible" r:id="rId5"/>
    <sheet xmlns:r="http://schemas.openxmlformats.org/officeDocument/2006/relationships" name="Capture_Blueprint" sheetId="6" state="visible" r:id="rId6"/>
    <sheet xmlns:r="http://schemas.openxmlformats.org/officeDocument/2006/relationships" name="Governed_Intelligence" sheetId="7" state="visible" r:id="rId7"/>
    <sheet xmlns:r="http://schemas.openxmlformats.org/officeDocument/2006/relationships" name="Instructions" sheetId="8" state="visible" r:id="rId8"/>
    <sheet xmlns:r="http://schemas.openxmlformats.org/officeDocument/2006/relationships" name="Field_Dictionary" sheetId="9" state="visible" r:id="rId9"/>
    <sheet xmlns:r="http://schemas.openxmlformats.org/officeDocument/2006/relationships" name="Value_Lists" sheetId="10" state="visible" r:id="rId10"/>
    <sheet xmlns:r="http://schemas.openxmlformats.org/officeDocument/2006/relationships" name="Dashboard" sheetId="11" state="visible" r:id="rId11"/>
    <sheet xmlns:r="http://schemas.openxmlformats.org/officeDocument/2006/relationships" name="Home_Dashboard" sheetId="12" state="visible" r:id="rId12"/>
    <sheet xmlns:r="http://schemas.openxmlformats.org/officeDocument/2006/relationships" name="Population_Dashboard" sheetId="13" state="visible" r:id="rId13"/>
    <sheet xmlns:r="http://schemas.openxmlformats.org/officeDocument/2006/relationships" name="Dashboard_Derived" sheetId="14" state="visible" r:id="rId14"/>
    <sheet xmlns:r="http://schemas.openxmlformats.org/officeDocument/2006/relationships" name="Dashboard_Coverage" sheetId="15" state="visible" r:id="rId15"/>
    <sheet xmlns:r="http://schemas.openxmlformats.org/officeDocument/2006/relationships" name="Care_Gap_Tracker" sheetId="16" state="visible" r:id="rId16"/>
    <sheet xmlns:r="http://schemas.openxmlformats.org/officeDocument/2006/relationships" name="Demographics_Entry" sheetId="17" state="visible" r:id="rId17"/>
    <sheet xmlns:r="http://schemas.openxmlformats.org/officeDocument/2006/relationships" name="Clinical_Entry" sheetId="18" state="visible" r:id="rId18"/>
    <sheet xmlns:r="http://schemas.openxmlformats.org/officeDocument/2006/relationships" name="Treatment_Entry" sheetId="19" state="visible" r:id="rId19"/>
    <sheet xmlns:r="http://schemas.openxmlformats.org/officeDocument/2006/relationships" name="Outcomes_Entry" sheetId="20" state="visible" r:id="rId20"/>
    <sheet xmlns:r="http://schemas.openxmlformats.org/officeDocument/2006/relationships" name="PSA_History" sheetId="21" state="visible" r:id="rId21"/>
    <sheet xmlns:r="http://schemas.openxmlformats.org/officeDocument/2006/relationships" name="Journey_Events" sheetId="22" state="visible" r:id="rId22"/>
    <sheet xmlns:r="http://schemas.openxmlformats.org/officeDocument/2006/relationships" name="Lab_Results" sheetId="23" state="visible" r:id="rId23"/>
    <sheet xmlns:r="http://schemas.openxmlformats.org/officeDocument/2006/relationships" name="Adverse_Events" sheetId="24" state="visible" r:id="rId24"/>
    <sheet xmlns:r="http://schemas.openxmlformats.org/officeDocument/2006/relationships" name="Bone_Events" sheetId="25" state="visible" r:id="rId25"/>
    <sheet xmlns:r="http://schemas.openxmlformats.org/officeDocument/2006/relationships" name="QoL_Assessments" sheetId="26" state="visible" r:id="rId26"/>
    <sheet xmlns:r="http://schemas.openxmlformats.org/officeDocument/2006/relationships" name="Healthcare_Contacts" sheetId="27" state="visible" r:id="rId27"/>
    <sheet xmlns:r="http://schemas.openxmlformats.org/officeDocument/2006/relationships" name="Referrals" sheetId="28" state="visible" r:id="rId28"/>
    <sheet xmlns:r="http://schemas.openxmlformats.org/officeDocument/2006/relationships" name="Visits" sheetId="29" state="visible" r:id="rId29"/>
    <sheet xmlns:r="http://schemas.openxmlformats.org/officeDocument/2006/relationships" name="Treatment_Plans" sheetId="30" state="visible" r:id="rId30"/>
  </sheets>
  <definedNames/>
  <calcPr calcId="191028" fullCalcOnLoad="1"/>
</workbook>
</file>

<file path=xl/styles.xml><?xml version="1.0" encoding="utf-8"?>
<styleSheet xmlns="http://schemas.openxmlformats.org/spreadsheetml/2006/main">
  <numFmts count="3">
    <numFmt numFmtId="164" formatCode="0.0"/>
    <numFmt numFmtId="165" formatCode="0.0%"/>
    <numFmt numFmtId="166" formatCode="yyyy\-mm\-dd"/>
  </numFmts>
  <fonts count="11">
    <font>
      <name val="Carlito"/>
      <sz val="11"/>
    </font>
    <font>
      <name val="Carlito"/>
      <b val="1"/>
      <color rgb="FF173C6D"/>
      <sz val="16"/>
    </font>
    <font>
      <name val="Carlito"/>
      <i val="1"/>
      <color rgb="FF1F2933"/>
      <sz val="11"/>
    </font>
    <font>
      <name val="Carlito"/>
      <color rgb="FF1F2933"/>
      <sz val="11"/>
    </font>
    <font>
      <name val="Carlito"/>
      <b val="1"/>
      <color rgb="FF173C6D"/>
      <sz val="11"/>
    </font>
    <font>
      <name val="Carlito"/>
      <i val="1"/>
      <color rgb="FF4A5568"/>
      <sz val="11"/>
    </font>
    <font>
      <name val="Carlito"/>
      <b val="1"/>
      <sz val="11"/>
    </font>
    <font>
      <b val="1"/>
      <color rgb="001D4F91"/>
      <sz val="13"/>
    </font>
    <font>
      <b val="1"/>
      <color rgb="00FFFFFF"/>
    </font>
    <font>
      <b val="1"/>
      <color rgb="001D4F91"/>
      <sz val="14"/>
    </font>
    <font>
      <b val="1"/>
      <color rgb="001D4F91"/>
      <sz val="12"/>
    </font>
  </fonts>
  <fills count="5">
    <fill>
      <patternFill/>
    </fill>
    <fill>
      <patternFill patternType="gray125"/>
    </fill>
    <fill>
      <patternFill patternType="solid">
        <fgColor theme="0"/>
        <bgColor indexed="64"/>
      </patternFill>
    </fill>
    <fill>
      <patternFill patternType="solid">
        <fgColor rgb="00FFF3CD"/>
      </patternFill>
    </fill>
    <fill>
      <patternFill patternType="solid">
        <fgColor rgb="001D4F91"/>
      </patternFill>
    </fill>
  </fills>
  <borders count="18">
    <border>
      <left/>
      <right/>
      <top/>
      <bottom/>
      <diagonal/>
    </border>
    <border>
      <left style="thin">
        <color rgb="FFB9D9FF"/>
      </left>
      <right style="thin">
        <color rgb="FFB9D9FF"/>
      </right>
      <top style="thin">
        <color rgb="FFB9D9FF"/>
      </top>
      <bottom style="thin">
        <color rgb="FFB9D9FF"/>
      </bottom>
      <diagonal/>
    </border>
    <border>
      <left style="thin">
        <color rgb="FFD7E5F3"/>
      </left>
      <right style="thin">
        <color rgb="FFD7E5F3"/>
      </right>
      <top style="thin">
        <color rgb="FFD7E5F3"/>
      </top>
      <bottom style="thin">
        <color rgb="FFD7E5F3"/>
      </bottom>
      <diagonal/>
    </border>
    <border>
      <left/>
      <right/>
      <top style="thin">
        <color rgb="FFB9D9FF"/>
      </top>
      <bottom/>
      <diagonal/>
    </border>
    <border>
      <left style="thin">
        <color rgb="FFB9D9FF"/>
      </left>
      <right/>
      <top/>
      <bottom/>
      <diagonal/>
    </border>
    <border>
      <left/>
      <right style="thin">
        <color rgb="FFB9D9FF"/>
      </right>
      <top style="thin">
        <color rgb="FFB9D9FF"/>
      </top>
      <bottom/>
      <diagonal/>
    </border>
    <border>
      <left/>
      <right style="thin">
        <color rgb="FFB9D9FF"/>
      </right>
      <top/>
      <bottom/>
      <diagonal/>
    </border>
    <border>
      <left style="thin">
        <color rgb="FFB9D9FF"/>
      </left>
      <right/>
      <top/>
      <bottom style="thin">
        <color rgb="FFB9D9FF"/>
      </bottom>
      <diagonal/>
    </border>
    <border>
      <left/>
      <right/>
      <top/>
      <bottom style="thin">
        <color rgb="FFB9D9FF"/>
      </bottom>
      <diagonal/>
    </border>
    <border>
      <left/>
      <right style="thin">
        <color rgb="FFB9D9FF"/>
      </right>
      <top/>
      <bottom style="thin">
        <color rgb="FFB9D9FF"/>
      </bottom>
      <diagonal/>
    </border>
    <border>
      <left/>
      <right/>
      <top style="thin">
        <color rgb="FFD7E5F3"/>
      </top>
      <bottom/>
      <diagonal/>
    </border>
    <border>
      <left/>
      <right style="thin">
        <color rgb="FFD7E5F3"/>
      </right>
      <top style="thin">
        <color rgb="FFD7E5F3"/>
      </top>
      <bottom/>
      <diagonal/>
    </border>
    <border>
      <left/>
      <right/>
      <top style="thin">
        <color rgb="FFD7E5F3"/>
      </top>
      <bottom style="thin">
        <color rgb="FFD7E5F3"/>
      </bottom>
      <diagonal/>
    </border>
    <border>
      <left/>
      <right style="thin">
        <color rgb="FFD7E5F3"/>
      </right>
      <top style="thin">
        <color rgb="FFD7E5F3"/>
      </top>
      <bottom style="thin">
        <color rgb="FFD7E5F3"/>
      </bottom>
      <diagonal/>
    </border>
    <border>
      <left style="thin">
        <color rgb="FFD7E5F3"/>
      </left>
      <right/>
      <top/>
      <bottom/>
      <diagonal/>
    </border>
    <border>
      <left/>
      <right style="thin">
        <color rgb="FFD7E5F3"/>
      </right>
      <top/>
      <bottom/>
      <diagonal/>
    </border>
    <border>
      <left style="thin">
        <color rgb="FFD7E5F3"/>
      </left>
      <right/>
      <top/>
      <bottom style="thin">
        <color rgb="FFD7E5F3"/>
      </bottom>
      <diagonal/>
    </border>
    <border>
      <left/>
      <right style="thin">
        <color rgb="FFD7E5F3"/>
      </right>
      <top/>
      <bottom style="thin">
        <color rgb="FFD7E5F3"/>
      </bottom>
      <diagonal/>
    </border>
  </borders>
  <cellStyleXfs count="1">
    <xf numFmtId="0" fontId="0" fillId="0" borderId="0"/>
  </cellStyleXfs>
  <cellXfs count="37">
    <xf numFmtId="0" fontId="0" fillId="0" borderId="0" pivotButton="0" quotePrefix="0" xfId="0"/>
    <xf numFmtId="0" fontId="0" fillId="0" borderId="2" applyAlignment="1" pivotButton="0" quotePrefix="0" xfId="0">
      <alignment wrapText="1"/>
    </xf>
    <xf numFmtId="0" fontId="4" fillId="0" borderId="2" applyAlignment="1" pivotButton="0" quotePrefix="0" xfId="0">
      <alignment wrapText="1"/>
    </xf>
    <xf numFmtId="1" fontId="0" fillId="0" borderId="2" applyAlignment="1" pivotButton="0" quotePrefix="0" xfId="0">
      <alignment wrapText="1"/>
    </xf>
    <xf numFmtId="164" fontId="0" fillId="0" borderId="2" applyAlignment="1" pivotButton="0" quotePrefix="0" xfId="0">
      <alignment wrapText="1"/>
    </xf>
    <xf numFmtId="165" fontId="0" fillId="0" borderId="2" applyAlignment="1" pivotButton="0" quotePrefix="0" xfId="0">
      <alignment wrapText="1"/>
    </xf>
    <xf numFmtId="0" fontId="5" fillId="0" borderId="2" applyAlignment="1" pivotButton="0" quotePrefix="0" xfId="0">
      <alignment wrapText="1"/>
    </xf>
    <xf numFmtId="166" fontId="5" fillId="0" borderId="2" applyAlignment="1" pivotButton="0" quotePrefix="0" xfId="0">
      <alignment wrapText="1"/>
    </xf>
    <xf numFmtId="1" fontId="5" fillId="0" borderId="2" applyAlignment="1" pivotButton="0" quotePrefix="0" xfId="0">
      <alignment wrapText="1"/>
    </xf>
    <xf numFmtId="166" fontId="0" fillId="0" borderId="2" applyAlignment="1" pivotButton="0" quotePrefix="0" xfId="0">
      <alignment wrapText="1"/>
    </xf>
    <xf numFmtId="0" fontId="6" fillId="0" borderId="2" applyAlignment="1" pivotButton="0" quotePrefix="0" xfId="0">
      <alignment wrapText="1"/>
    </xf>
    <xf numFmtId="0" fontId="0" fillId="2" borderId="2"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0" fillId="0" borderId="2" applyAlignment="1" pivotButton="0" quotePrefix="0" xfId="0">
      <alignment wrapText="1"/>
    </xf>
    <xf numFmtId="0" fontId="3" fillId="0" borderId="1" applyAlignment="1" pivotButton="0" quotePrefix="0" xfId="0">
      <alignment vertical="top" wrapText="1"/>
    </xf>
    <xf numFmtId="0" fontId="4" fillId="0" borderId="2" applyAlignment="1" pivotButton="0" quotePrefix="0" xfId="0">
      <alignment horizontal="center" wrapText="1"/>
    </xf>
    <xf numFmtId="0" fontId="1" fillId="0" borderId="2" applyAlignment="1" pivotButton="0" quotePrefix="0" xfId="0">
      <alignment horizontal="center" vertical="center"/>
    </xf>
    <xf numFmtId="0" fontId="9" fillId="0" borderId="0" pivotButton="0" quotePrefix="0" xfId="0"/>
    <xf numFmtId="0" fontId="8" fillId="4" borderId="0" pivotButton="0" quotePrefix="0" xfId="0"/>
    <xf numFmtId="0" fontId="0" fillId="3" borderId="0" pivotButton="0" quotePrefix="0" xfId="0"/>
    <xf numFmtId="0" fontId="0" fillId="3" borderId="0" applyAlignment="1" pivotButton="0" quotePrefix="0" xfId="0">
      <alignment wrapText="1"/>
    </xf>
    <xf numFmtId="0" fontId="0" fillId="0" borderId="3" pivotButton="0" quotePrefix="0" xfId="0"/>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2" pivotButton="0" quotePrefix="0" xfId="0"/>
    <xf numFmtId="0" fontId="0" fillId="0" borderId="13" pivotButton="0" quotePrefix="0" xfId="0"/>
    <xf numFmtId="0" fontId="0" fillId="0" borderId="11" pivotButton="0" quotePrefix="0" xfId="0"/>
    <xf numFmtId="0" fontId="0" fillId="0" borderId="16" pivotButton="0" quotePrefix="0" xfId="0"/>
    <xf numFmtId="0" fontId="0" fillId="0" borderId="17" pivotButton="0" quotePrefix="0" xfId="0"/>
    <xf numFmtId="0" fontId="8" fillId="3" borderId="0" pivotButton="0" quotePrefix="0" xfId="0"/>
    <xf numFmtId="0" fontId="7" fillId="0" borderId="0" pivotButton="0" quotePrefix="0" xfId="0"/>
    <xf numFmtId="0" fontId="1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6" customWidth="1" min="1" max="1"/>
    <col width="26" customWidth="1" min="2" max="2"/>
    <col width="60" customWidth="1" min="3" max="3"/>
    <col width="60" customWidth="1" min="4" max="4"/>
  </cols>
  <sheetData>
    <row r="1">
      <c r="A1" s="18" t="inlineStr">
        <is>
          <t>ProstaCare Schema — V3 proposed changes</t>
        </is>
      </c>
    </row>
    <row r="2">
      <c r="A2" t="inlineStr">
        <is>
          <t>Derived from the prostate-cancer MDT care pathway (NCCN/EAU, India). Every change is marked PROPOSED and awaits clinical sign-off (see DEV_START_GATE B11/B12).</t>
        </is>
      </c>
    </row>
    <row r="4">
      <c r="A4" s="19" t="inlineStr">
        <is>
          <t>#</t>
        </is>
      </c>
      <c r="B4" s="19" t="inlineStr">
        <is>
          <t>Area</t>
        </is>
      </c>
      <c r="C4" s="19" t="inlineStr">
        <is>
          <t>Change</t>
        </is>
      </c>
      <c r="D4" s="19" t="inlineStr">
        <is>
          <t>Why (pathway capture point)</t>
        </is>
      </c>
    </row>
    <row r="5">
      <c r="A5" s="20" t="inlineStr">
        <is>
          <t>1</t>
        </is>
      </c>
      <c r="B5" s="20" t="inlineStr">
        <is>
          <t>Demographics_Entry</t>
        </is>
      </c>
      <c r="C5" s="21" t="inlineStr">
        <is>
          <t>+ religion, marital_status, education_level, occupation</t>
        </is>
      </c>
      <c r="D5" s="21" t="inlineStr">
        <is>
          <t>Patient demographics &amp; risk factors (was captured in the demo, dropped in v2)</t>
        </is>
      </c>
    </row>
    <row r="6">
      <c r="A6" s="20" t="inlineStr">
        <is>
          <t>2</t>
        </is>
      </c>
      <c r="B6" s="20" t="inlineStr">
        <is>
          <t>Demographics_Entry</t>
        </is>
      </c>
      <c r="C6" s="21" t="inlineStr">
        <is>
          <t>+ tobacco_use</t>
        </is>
      </c>
      <c r="D6" s="21" t="inlineStr">
        <is>
          <t>Risk factors</t>
        </is>
      </c>
    </row>
    <row r="7">
      <c r="A7" s="20" t="inlineStr">
        <is>
          <t>3</t>
        </is>
      </c>
      <c r="B7" s="20" t="inlineStr">
        <is>
          <t>Lab_Results (NEW sheet)</t>
        </is>
      </c>
      <c r="C7" s="21" t="inlineStr">
        <is>
          <t>Serial labs: PSA, Testosterone, CBC, RFT, LFT, ALP</t>
        </is>
      </c>
      <c r="D7" s="21" t="inlineStr">
        <is>
          <t>Key investigations; 6-weekly monitoring on Pluvicto</t>
        </is>
      </c>
    </row>
    <row r="8">
      <c r="A8" s="20" t="inlineStr">
        <is>
          <t>4</t>
        </is>
      </c>
      <c r="B8" s="20" t="inlineStr">
        <is>
          <t>Treatment_Entry</t>
        </is>
      </c>
      <c r="C8" s="21" t="inlineStr">
        <is>
          <t>+ Surgery section (surgery_type, surgery_date)</t>
        </is>
      </c>
      <c r="D8" s="21" t="inlineStr">
        <is>
          <t>Treatment options by stage: surgery</t>
        </is>
      </c>
    </row>
    <row r="9">
      <c r="A9" s="20" t="inlineStr">
        <is>
          <t>5</t>
        </is>
      </c>
      <c r="B9" s="20" t="inlineStr">
        <is>
          <t>Treatment_Entry</t>
        </is>
      </c>
      <c r="C9" s="21" t="inlineStr">
        <is>
          <t>+ Radioligand section (Lu-177 PSMA / Radium-223, cycles, dose, last cycle)</t>
        </is>
      </c>
      <c r="D9" s="21" t="inlineStr">
        <is>
          <t>Pluvicto therapy details (cycles, dose, AEs)</t>
        </is>
      </c>
    </row>
    <row r="10">
      <c r="A10" s="20" t="inlineStr">
        <is>
          <t>6</t>
        </is>
      </c>
      <c r="B10" s="20" t="inlineStr">
        <is>
          <t>Adverse_Events (NEW sheet)</t>
        </is>
      </c>
      <c r="C10" s="21" t="inlineStr">
        <is>
          <t>Structured CTCAE-graded AEs</t>
        </is>
      </c>
      <c r="D10" s="21" t="inlineStr">
        <is>
          <t>Adverse events &amp; toxicity</t>
        </is>
      </c>
    </row>
    <row r="11">
      <c r="A11" s="20" t="inlineStr">
        <is>
          <t>7</t>
        </is>
      </c>
      <c r="B11" s="20" t="inlineStr">
        <is>
          <t>Outcomes_Entry</t>
        </is>
      </c>
      <c r="C11" s="21" t="inlineStr">
        <is>
          <t>+ vital_status, date_of_death, cause_of_death</t>
        </is>
      </c>
      <c r="D11" s="21" t="inlineStr">
        <is>
          <t>Outcomes: OS (cannot be computed without these)</t>
        </is>
      </c>
    </row>
    <row r="12">
      <c r="A12" s="20" t="inlineStr">
        <is>
          <t>8</t>
        </is>
      </c>
      <c r="B12" s="20" t="inlineStr">
        <is>
          <t>Outcomes_Entry</t>
        </is>
      </c>
      <c r="C12" s="21" t="inlineStr">
        <is>
          <t>+ progression_free_date</t>
        </is>
      </c>
      <c r="D12" s="21" t="inlineStr">
        <is>
          <t>Outcomes: PFS</t>
        </is>
      </c>
    </row>
    <row r="13">
      <c r="A13" s="20" t="inlineStr">
        <is>
          <t>9</t>
        </is>
      </c>
      <c r="B13" s="20" t="inlineStr">
        <is>
          <t>Bone_Events (NEW sheet)</t>
        </is>
      </c>
      <c r="C13" s="21" t="inlineStr">
        <is>
          <t>Skeletal-related events</t>
        </is>
      </c>
      <c r="D13" s="21" t="inlineStr">
        <is>
          <t>Outcomes: bone events</t>
        </is>
      </c>
    </row>
    <row r="14">
      <c r="A14" s="20" t="inlineStr">
        <is>
          <t>10</t>
        </is>
      </c>
      <c r="B14" s="20" t="inlineStr">
        <is>
          <t>QoL_Assessments (NEW sheet)</t>
        </is>
      </c>
      <c r="C14" s="21" t="inlineStr">
        <is>
          <t>EQ-5D-5L / FACT-P</t>
        </is>
      </c>
      <c r="D14" s="21" t="inlineStr">
        <is>
          <t>Outcomes: QoL</t>
        </is>
      </c>
    </row>
    <row r="15">
      <c r="A15" s="20" t="inlineStr">
        <is>
          <t>11</t>
        </is>
      </c>
      <c r="B15" s="20" t="inlineStr">
        <is>
          <t>Healthcare_Contacts (NEW sheet)</t>
        </is>
      </c>
      <c r="C15" s="21" t="inlineStr">
        <is>
          <t>Hospitalisation / ER visit / day-care</t>
        </is>
      </c>
      <c r="D15" s="21" t="inlineStr">
        <is>
          <t>Resource utilization</t>
        </is>
      </c>
    </row>
    <row r="16">
      <c r="A16" s="20" t="inlineStr">
        <is>
          <t>12</t>
        </is>
      </c>
      <c r="B16" s="20" t="inlineStr">
        <is>
          <t>Referrals (NEW sheet)</t>
        </is>
      </c>
      <c r="C16" s="21" t="inlineStr">
        <is>
          <t>Dietician, physio, psychology, social work, genetic counselling, palliative</t>
        </is>
      </c>
      <c r="D16" s="21" t="inlineStr">
        <is>
          <t>Support services</t>
        </is>
      </c>
    </row>
    <row r="17">
      <c r="A17" s="20" t="inlineStr">
        <is>
          <t>13</t>
        </is>
      </c>
      <c r="B17" s="20" t="inlineStr">
        <is>
          <t>Clinical_Entry</t>
        </is>
      </c>
      <c r="C17" s="21" t="inlineStr">
        <is>
          <t>+ imaging_response (PCWG3/RECIST)</t>
        </is>
      </c>
      <c r="D17" s="21" t="inlineStr">
        <is>
          <t>Response assessment (PSA, imaging)</t>
        </is>
      </c>
    </row>
    <row r="18">
      <c r="A18" s="20" t="inlineStr">
        <is>
          <t>14</t>
        </is>
      </c>
      <c r="B18" s="20" t="inlineStr">
        <is>
          <t>Clinical_Entry</t>
        </is>
      </c>
      <c r="C18" s="21" t="inlineStr">
        <is>
          <t>ct_abdomen_pelvis relabelled 'CT Chest / Abdomen / Pelvis'</t>
        </is>
      </c>
      <c r="D18" s="21" t="inlineStr">
        <is>
          <t>Key investigations: CT Chest, Abdomen, Pelvis</t>
        </is>
      </c>
    </row>
    <row r="19">
      <c r="A19" s="20" t="inlineStr">
        <is>
          <t>15</t>
        </is>
      </c>
      <c r="B19" s="20" t="inlineStr">
        <is>
          <t>Value_Lists</t>
        </is>
      </c>
      <c r="C19" s="21" t="inlineStr">
        <is>
          <t>germlineSomaticTesting + 'ATM mutation'</t>
        </is>
      </c>
      <c r="D19" s="21" t="inlineStr">
        <is>
          <t>Germline / somatic testing (BRCA1/2, ATM)</t>
        </is>
      </c>
    </row>
    <row r="20">
      <c r="A20" s="20" t="inlineStr">
        <is>
          <t>16</t>
        </is>
      </c>
      <c r="B20" s="20" t="inlineStr">
        <is>
          <t>Naming</t>
        </is>
      </c>
      <c r="C20" s="21" t="inlineStr">
        <is>
          <t>arsi_intensification — pathway calls it ARPI (decision pending)</t>
        </is>
      </c>
      <c r="D20" s="21" t="inlineStr">
        <is>
          <t>Terminology alignment</t>
        </is>
      </c>
    </row>
    <row r="22">
      <c r="A22" s="36" t="inlineStr">
        <is>
          <t>Round 2 — visits &amp; repeat treatment plans</t>
        </is>
      </c>
    </row>
    <row r="23">
      <c r="A23" s="21" t="inlineStr">
        <is>
          <t>17</t>
        </is>
      </c>
      <c r="B23" s="21" t="inlineStr">
        <is>
          <t>Visits (NEW sheet)</t>
        </is>
      </c>
      <c r="C23" s="21" t="inlineStr">
        <is>
          <t>Every attendance recorded: date, type, disease state, outcome, next visit due</t>
        </is>
      </c>
      <c r="D23" s="21" t="inlineStr">
        <is>
          <t>Patient returns repeatedly; drives follow-up tracking</t>
        </is>
      </c>
    </row>
    <row r="24">
      <c r="A24" s="21" t="inlineStr">
        <is>
          <t>18</t>
        </is>
      </c>
      <c r="B24" s="21" t="inlineStr">
        <is>
          <t>Treatment_Plans (NEW sheet)</t>
        </is>
      </c>
      <c r="C24" s="21" t="inlineStr">
        <is>
          <t>Treatment plan becomes ONE-TO-MANY (a dated version per line of therapy)</t>
        </is>
      </c>
      <c r="D24" s="21" t="inlineStr">
        <is>
          <t>A new plan is agreed at progression / toxicity</t>
        </is>
      </c>
    </row>
    <row r="25">
      <c r="A25" s="21" t="inlineStr">
        <is>
          <t>19</t>
        </is>
      </c>
      <c r="B25" s="21" t="inlineStr">
        <is>
          <t>Treatment_Entry</t>
        </is>
      </c>
      <c r="C25" s="21" t="inlineStr">
        <is>
          <t>treatment_intent, mdt_status, date_of_mdt_review moved to Treatment_Plans</t>
        </is>
      </c>
      <c r="D25" s="21" t="inlineStr">
        <is>
          <t>They belong to a plan version, not to the patient</t>
        </is>
      </c>
    </row>
    <row r="26">
      <c r="A26" s="21" t="inlineStr">
        <is>
          <t>20</t>
        </is>
      </c>
      <c r="B26" s="21" t="inlineStr">
        <is>
          <t>Dated sheets</t>
        </is>
      </c>
      <c r="C26" s="21" t="inlineStr">
        <is>
          <t>OPTIONAL visit_id link on PSA, labs, clinical, treatment, AEs, journey</t>
        </is>
      </c>
      <c r="D26" s="21" t="inlineStr">
        <is>
          <t>Groups everything captured at one visit; still valid without it</t>
        </is>
      </c>
    </row>
    <row r="27">
      <c r="A27" s="21" t="inlineStr">
        <is>
          <t>21</t>
        </is>
      </c>
      <c r="B27" s="21" t="inlineStr">
        <is>
          <t>Follow-up</t>
        </is>
      </c>
      <c r="C27" s="21" t="inlineStr">
        <is>
          <t>next_visit_due_date + disease_state_at_visit drive the 'follow-up overdue' nudge</t>
        </is>
      </c>
      <c r="D27" s="21" t="inlineStr">
        <is>
          <t>Protocol intervals by disease state (pathway panel 5)</t>
        </is>
      </c>
    </row>
  </sheetData>
  <pageMargins left="0.75" right="0.75" top="1" bottom="1" header="0.5" footer="0.5"/>
</worksheet>
</file>

<file path=xl/worksheets/sheet2.xml><?xml version="1.0" encoding="utf-8"?>
<worksheet xmlns="http://schemas.openxmlformats.org/spreadsheetml/2006/main">
  <sheetPr>
    <tabColor theme="9" tint="0.7999816888943144"/>
    <outlinePr summaryBelow="1" summaryRight="1"/>
    <pageSetUpPr/>
  </sheetPr>
  <dimension ref="A1:H28"/>
  <sheetViews>
    <sheetView showGridLines="0" topLeftCell="A2" workbookViewId="0">
      <selection activeCell="A10" sqref="A10:D13"/>
    </sheetView>
  </sheetViews>
  <sheetFormatPr baseColWidth="8" defaultColWidth="8.875" defaultRowHeight="14.25"/>
  <cols>
    <col width="18" customWidth="1" min="1" max="8"/>
  </cols>
  <sheetData>
    <row r="1" ht="27.95" customHeight="1">
      <c r="A1" s="12" t="inlineStr">
        <is>
          <t>ProstaCare Platform Bible</t>
        </is>
      </c>
    </row>
    <row r="2">
      <c r="A2" s="13" t="inlineStr">
        <is>
          <t>A clinical operating system for oncology teams: registry, patient command centre, care-gap engine, cohort analytics, and governed intelligence in one experience.</t>
        </is>
      </c>
    </row>
    <row r="5" ht="26.1" customHeight="1">
      <c r="A5" s="15" t="inlineStr">
        <is>
          <t>What It Is
A bespoke oncology registry and workflow platform built for hospital teams. It captures structured case data, turns missing steps into visible nudges, and keeps cohort quality measurable.</t>
        </is>
      </c>
      <c r="B5" s="22" t="n"/>
      <c r="C5" s="22" t="n"/>
      <c r="D5" s="23" t="n"/>
      <c r="E5" s="15" t="inlineStr">
        <is>
          <t>What It Feels Like
Bright, calm, clinical, and high-trust. White surfaces, sky-blue emphasis, dark-blue anchors, rounded cards, quick drilldowns, and very little visual noise.</t>
        </is>
      </c>
      <c r="F5" s="22" t="n"/>
      <c r="G5" s="22" t="n"/>
      <c r="H5" s="23" t="n"/>
    </row>
    <row r="6" ht="26.1" customHeight="1">
      <c r="A6" s="24" t="n"/>
      <c r="D6" s="25" t="n"/>
      <c r="E6" s="24" t="n"/>
      <c r="H6" s="25" t="n"/>
    </row>
    <row r="7" ht="26.1" customHeight="1">
      <c r="A7" s="24" t="n"/>
      <c r="D7" s="25" t="n"/>
      <c r="E7" s="24" t="n"/>
      <c r="H7" s="25" t="n"/>
    </row>
    <row r="8" ht="26.1" customHeight="1">
      <c r="A8" s="26" t="n"/>
      <c r="B8" s="27" t="n"/>
      <c r="C8" s="27" t="n"/>
      <c r="D8" s="28" t="n"/>
      <c r="E8" s="26" t="n"/>
      <c r="F8" s="27" t="n"/>
      <c r="G8" s="27" t="n"/>
      <c r="H8" s="28" t="n"/>
    </row>
    <row r="10" ht="27.95" customHeight="1">
      <c r="A10" s="15" t="inlineStr">
        <is>
          <t>What Users Do
Start the day in triage, open any patient into a longitudinal file, complete workup and treatment state, route gaps to the MDT, and move from dashboard signal back to the exact patient.</t>
        </is>
      </c>
      <c r="B10" s="22" t="n"/>
      <c r="C10" s="22" t="n"/>
      <c r="D10" s="23" t="n"/>
      <c r="E10" s="15" t="inlineStr">
        <is>
          <t>What It Captures
A de-identified patient code, staging, pathology, imaging, biomarker history, treatment pathway, bone health, approvals, follow-up, outcomes, journey events, gaps, and collaboration touchpoints.</t>
        </is>
      </c>
      <c r="F10" s="22" t="n"/>
      <c r="G10" s="22" t="n"/>
      <c r="H10" s="23" t="n"/>
    </row>
    <row r="11" ht="27.95" customHeight="1">
      <c r="A11" s="24" t="n"/>
      <c r="D11" s="25" t="n"/>
      <c r="E11" s="24" t="n"/>
      <c r="H11" s="25" t="n"/>
    </row>
    <row r="12" ht="27.95" customHeight="1">
      <c r="A12" s="24" t="n"/>
      <c r="D12" s="25" t="n"/>
      <c r="E12" s="24" t="n"/>
      <c r="H12" s="25" t="n"/>
    </row>
    <row r="13" ht="27.95" customHeight="1">
      <c r="A13" s="26" t="n"/>
      <c r="B13" s="27" t="n"/>
      <c r="C13" s="27" t="n"/>
      <c r="D13" s="28" t="n"/>
      <c r="E13" s="26" t="n"/>
      <c r="F13" s="27" t="n"/>
      <c r="G13" s="27" t="n"/>
      <c r="H13" s="28" t="n"/>
    </row>
    <row r="15" ht="15.75" customHeight="1">
      <c r="A15" s="12" t="inlineStr">
        <is>
          <t>Core Product Promise</t>
        </is>
      </c>
    </row>
    <row r="16">
      <c r="A16" s="15" t="inlineStr">
        <is>
          <t>Every important cohort signal should be drillable back to a patient, and every important patient gap should be visible as an explainable next action.</t>
        </is>
      </c>
      <c r="B16" s="22" t="n"/>
      <c r="C16" s="22" t="n"/>
      <c r="D16" s="22" t="n"/>
      <c r="E16" s="22" t="n"/>
      <c r="F16" s="22" t="n"/>
      <c r="G16" s="22" t="n"/>
      <c r="H16" s="23" t="n"/>
    </row>
    <row r="17">
      <c r="A17" s="26" t="n"/>
      <c r="B17" s="27" t="n"/>
      <c r="C17" s="27" t="n"/>
      <c r="D17" s="27" t="n"/>
      <c r="E17" s="27" t="n"/>
      <c r="F17" s="27" t="n"/>
      <c r="G17" s="27" t="n"/>
      <c r="H17" s="28" t="n"/>
    </row>
    <row r="19" ht="15.75" customHeight="1">
      <c r="A19" s="12" t="inlineStr">
        <is>
          <t>Major Surfaces</t>
        </is>
      </c>
    </row>
    <row r="20" ht="15" customHeight="1">
      <c r="A20" s="2" t="inlineStr">
        <is>
          <t>Home</t>
        </is>
      </c>
      <c r="B20" s="14" t="inlineStr">
        <is>
          <t>A doctor-facing launchpad with quick actions, cohort pulse, benchmarks, surfaced cases, and nudge trends.</t>
        </is>
      </c>
      <c r="C20" s="29" t="n"/>
      <c r="D20" s="29" t="n"/>
      <c r="E20" s="29" t="n"/>
      <c r="F20" s="29" t="n"/>
      <c r="G20" s="29" t="n"/>
      <c r="H20" s="30" t="n"/>
    </row>
    <row r="21" ht="15" customHeight="1">
      <c r="A21" s="2" t="inlineStr">
        <is>
          <t>Patient List</t>
        </is>
      </c>
      <c r="B21" s="14" t="inlineStr">
        <is>
          <t>A queue view organized by visit timing and urgency so teams can move from roster to chart quickly.</t>
        </is>
      </c>
      <c r="C21" s="29" t="n"/>
      <c r="D21" s="29" t="n"/>
      <c r="E21" s="29" t="n"/>
      <c r="F21" s="29" t="n"/>
      <c r="G21" s="29" t="n"/>
      <c r="H21" s="30" t="n"/>
    </row>
    <row r="22" ht="15" customHeight="1">
      <c r="A22" s="2" t="inlineStr">
        <is>
          <t>Patient File</t>
        </is>
      </c>
      <c r="B22" s="14" t="inlineStr">
        <is>
          <t>A left-nav-driven longitudinal case file with demographics, clinical assessment, treatment plan, journey, and nudges.</t>
        </is>
      </c>
      <c r="C22" s="29" t="n"/>
      <c r="D22" s="29" t="n"/>
      <c r="E22" s="29" t="n"/>
      <c r="F22" s="29" t="n"/>
      <c r="G22" s="29" t="n"/>
      <c r="H22" s="30" t="n"/>
    </row>
    <row r="23" ht="30" customHeight="1">
      <c r="A23" s="2" t="inlineStr">
        <is>
          <t>Population Dashboard</t>
        </is>
      </c>
      <c r="B23" s="14" t="inlineStr">
        <is>
          <t>A six-section analytics experience spanning overview, clinical profile, treatment, outcomes, quality, and demographics.</t>
        </is>
      </c>
      <c r="C23" s="29" t="n"/>
      <c r="D23" s="29" t="n"/>
      <c r="E23" s="29" t="n"/>
      <c r="F23" s="29" t="n"/>
      <c r="G23" s="29" t="n"/>
      <c r="H23" s="30" t="n"/>
    </row>
    <row r="24" ht="15" customHeight="1">
      <c r="A24" s="2" t="inlineStr">
        <is>
          <t>AI Buddy</t>
        </is>
      </c>
      <c r="B24" s="14" t="inlineStr">
        <is>
          <t>A governed, step-by-step pathway review surface bounded to the configured evidence brain.</t>
        </is>
      </c>
      <c r="C24" s="29" t="n"/>
      <c r="D24" s="29" t="n"/>
      <c r="E24" s="29" t="n"/>
      <c r="F24" s="29" t="n"/>
      <c r="G24" s="29" t="n"/>
      <c r="H24" s="30" t="n"/>
    </row>
    <row r="26" ht="15.75" customHeight="1">
      <c r="A26" s="12" t="inlineStr">
        <is>
          <t>Who This Bible Is For</t>
        </is>
      </c>
    </row>
    <row r="27" ht="30" customHeight="1">
      <c r="A27" s="15" t="inlineStr">
        <is>
          <t>Product owners, clinical leads, designers, engineers, hospital stakeholders, and new developers who need to understand not only the data model, but also the intended experience, operating rhythm, and governed logic of the platform.</t>
        </is>
      </c>
      <c r="B27" s="22" t="n"/>
      <c r="C27" s="22" t="n"/>
      <c r="D27" s="22" t="n"/>
      <c r="E27" s="22" t="n"/>
      <c r="F27" s="22" t="n"/>
      <c r="G27" s="22" t="n"/>
      <c r="H27" s="23" t="n"/>
    </row>
    <row r="28" ht="30" customHeight="1">
      <c r="A28" s="26" t="n"/>
      <c r="B28" s="27" t="n"/>
      <c r="C28" s="27" t="n"/>
      <c r="D28" s="27" t="n"/>
      <c r="E28" s="27" t="n"/>
      <c r="F28" s="27" t="n"/>
      <c r="G28" s="27" t="n"/>
      <c r="H28" s="28" t="n"/>
    </row>
  </sheetData>
  <mergeCells count="16">
    <mergeCell ref="A10:D13"/>
    <mergeCell ref="B22:H22"/>
    <mergeCell ref="A26:H26"/>
    <mergeCell ref="A5:D8"/>
    <mergeCell ref="A15:H15"/>
    <mergeCell ref="B21:H21"/>
    <mergeCell ref="A2:H2"/>
    <mergeCell ref="A16:H17"/>
    <mergeCell ref="B24:H24"/>
    <mergeCell ref="A19:H19"/>
    <mergeCell ref="E5:H8"/>
    <mergeCell ref="A1:H1"/>
    <mergeCell ref="B20:H20"/>
    <mergeCell ref="E10:H13"/>
    <mergeCell ref="A27:H28"/>
    <mergeCell ref="B23:H23"/>
  </mergeCells>
  <pageMargins left="0.7" right="0.7" top="0.75" bottom="0.75" header="0.3" footer="0.3"/>
</worksheet>
</file>

<file path=xl/worksheets/sheet3.xml><?xml version="1.0" encoding="utf-8"?>
<worksheet xmlns="http://schemas.openxmlformats.org/spreadsheetml/2006/main">
  <sheetPr>
    <tabColor theme="9" tint="0.7999816888943144"/>
    <outlinePr summaryBelow="1" summaryRight="1"/>
    <pageSetUpPr/>
  </sheetPr>
  <dimension ref="A1:H20"/>
  <sheetViews>
    <sheetView showGridLines="0" topLeftCell="A10" workbookViewId="0">
      <selection activeCell="E19" sqref="E19"/>
    </sheetView>
  </sheetViews>
  <sheetFormatPr baseColWidth="8" defaultColWidth="8.875" defaultRowHeight="14.25"/>
  <cols>
    <col width="10" customWidth="1" min="1" max="1"/>
    <col width="20" customWidth="1" min="2" max="2"/>
    <col width="22" customWidth="1" min="3" max="3"/>
    <col width="28" customWidth="1" min="4" max="4"/>
    <col width="18" customWidth="1" min="5" max="5"/>
    <col width="24" customWidth="1" min="6" max="8"/>
  </cols>
  <sheetData>
    <row r="1" ht="15.75" customHeight="1">
      <c r="A1" s="12" t="inlineStr">
        <is>
          <t>Visual Language</t>
        </is>
      </c>
    </row>
    <row r="2">
      <c r="A2" s="13" t="inlineStr">
        <is>
          <t>This tab describes how the platform should look and feel when implemented: palette, type hierarchy, layout grammar, and interaction tone.</t>
        </is>
      </c>
    </row>
    <row r="4" ht="15" customHeight="1">
      <c r="A4" s="2" t="inlineStr">
        <is>
          <t>Swatch</t>
        </is>
      </c>
      <c r="B4" s="2" t="inlineStr">
        <is>
          <t>Color Role</t>
        </is>
      </c>
      <c r="C4" s="2" t="inlineStr">
        <is>
          <t>Hex</t>
        </is>
      </c>
      <c r="D4" s="2" t="inlineStr">
        <is>
          <t>Usage</t>
        </is>
      </c>
      <c r="F4" s="2" t="inlineStr">
        <is>
          <t>Type Layer</t>
        </is>
      </c>
      <c r="G4" s="2" t="inlineStr">
        <is>
          <t>Font / Character</t>
        </is>
      </c>
      <c r="H4" s="2" t="inlineStr">
        <is>
          <t>Usage</t>
        </is>
      </c>
    </row>
    <row r="5" ht="42.75" customHeight="1">
      <c r="A5" s="14" t="n"/>
      <c r="B5" s="14" t="inlineStr">
        <is>
          <t>Primary Sky</t>
        </is>
      </c>
      <c r="C5" s="14" t="inlineStr">
        <is>
          <t>#2E92FF</t>
        </is>
      </c>
      <c r="D5" s="14" t="inlineStr">
        <is>
          <t>Main emphasis color for actions, highlights, selected navigation, and intelligence surfaces.</t>
        </is>
      </c>
      <c r="F5" s="14" t="inlineStr">
        <is>
          <t>Display</t>
        </is>
      </c>
      <c r="G5" s="14" t="inlineStr">
        <is>
          <t>Syne / DM Serif Display style</t>
        </is>
      </c>
      <c r="H5" s="14" t="inlineStr">
        <is>
          <t>Brand line, hero title, screen titles, bold clinical framing.</t>
        </is>
      </c>
    </row>
    <row r="6" ht="28.5" customHeight="1">
      <c r="A6" s="14" t="n"/>
      <c r="B6" s="14" t="inlineStr">
        <is>
          <t>Deep Blue</t>
        </is>
      </c>
      <c r="C6" s="14" t="inlineStr">
        <is>
          <t>#1D4F91</t>
        </is>
      </c>
      <c r="D6" s="14" t="inlineStr">
        <is>
          <t>Anchor color for headers, hero surfaces, and high-trust framing.</t>
        </is>
      </c>
      <c r="F6" s="14" t="inlineStr">
        <is>
          <t>Body</t>
        </is>
      </c>
      <c r="G6" s="14" t="inlineStr">
        <is>
          <t>IBM Plex Sans / DM Sans style</t>
        </is>
      </c>
      <c r="H6" s="14" t="inlineStr">
        <is>
          <t>Forms, tables, descriptive copy, chart labels.</t>
        </is>
      </c>
    </row>
    <row r="7" ht="57" customHeight="1">
      <c r="A7" s="14" t="n"/>
      <c r="B7" s="14" t="inlineStr">
        <is>
          <t>Light Sky Wash</t>
        </is>
      </c>
      <c r="C7" s="14" t="inlineStr">
        <is>
          <t>#EAF4FF</t>
        </is>
      </c>
      <c r="D7" s="14" t="inlineStr">
        <is>
          <t>Card fills, scaffold bands, and elevated information blocks.</t>
        </is>
      </c>
      <c r="F7" s="14" t="inlineStr">
        <is>
          <t>Metric / System</t>
        </is>
      </c>
      <c r="G7" s="14" t="inlineStr">
        <is>
          <t>IBM Plex Mono / DM Mono style</t>
        </is>
      </c>
      <c r="H7" s="14" t="inlineStr">
        <is>
          <t>Unique patient codes, counters, metric chips, timestamps, status microcopy.</t>
        </is>
      </c>
    </row>
    <row r="8" ht="57" customHeight="1">
      <c r="A8" s="14" t="n"/>
      <c r="B8" s="14" t="inlineStr">
        <is>
          <t>Alert Red</t>
        </is>
      </c>
      <c r="C8" s="14" t="inlineStr">
        <is>
          <t>#D34B52</t>
        </is>
      </c>
      <c r="D8" s="14" t="inlineStr">
        <is>
          <t>Critical gaps, progression warnings, and urgent attention states.</t>
        </is>
      </c>
      <c r="F8" s="14" t="inlineStr">
        <is>
          <t>Writing tone</t>
        </is>
      </c>
      <c r="G8" s="14" t="inlineStr">
        <is>
          <t>Direct, clinical, operational</t>
        </is>
      </c>
      <c r="H8" s="14" t="inlineStr">
        <is>
          <t>Explain signals and next steps clearly. Avoid vague product-marketing language inside the UI.</t>
        </is>
      </c>
    </row>
    <row r="9" ht="28.5" customHeight="1">
      <c r="A9" s="14" t="n"/>
      <c r="B9" s="14" t="inlineStr">
        <is>
          <t>Attention Amber</t>
        </is>
      </c>
      <c r="C9" s="14" t="inlineStr">
        <is>
          <t>#D58A1C</t>
        </is>
      </c>
      <c r="D9" s="14" t="inlineStr">
        <is>
          <t>Advisory gaps, pending review, and cautionary states.</t>
        </is>
      </c>
    </row>
    <row r="10" ht="28.5" customHeight="1">
      <c r="A10" s="14" t="n"/>
      <c r="B10" s="14" t="inlineStr">
        <is>
          <t>Support Green</t>
        </is>
      </c>
      <c r="C10" s="14" t="inlineStr">
        <is>
          <t>#4DB57A</t>
        </is>
      </c>
      <c r="D10" s="14" t="inlineStr">
        <is>
          <t>Healthy completion states and low-risk positive confirmation.</t>
        </is>
      </c>
    </row>
    <row r="13" ht="30" customHeight="1">
      <c r="A13" s="2" t="inlineStr">
        <is>
          <t>Experience Rule</t>
        </is>
      </c>
      <c r="B13" s="2" t="inlineStr">
        <is>
          <t>What It Means In Practice</t>
        </is>
      </c>
      <c r="C13" s="2" t="inlineStr">
        <is>
          <t>Why It Matters</t>
        </is>
      </c>
    </row>
    <row r="14" ht="57" customHeight="1">
      <c r="A14" s="14" t="inlineStr">
        <is>
          <t>Action-first</t>
        </is>
      </c>
      <c r="B14" s="14" t="inlineStr">
        <is>
          <t>Every major card should help the user do something next, not just read.</t>
        </is>
      </c>
      <c r="C14" s="14" t="inlineStr">
        <is>
          <t>The product is a working surface, not a brochure.</t>
        </is>
      </c>
    </row>
    <row r="15" ht="71.25" customHeight="1">
      <c r="A15" s="14" t="inlineStr">
        <is>
          <t>Bright and breathable</t>
        </is>
      </c>
      <c r="B15" s="14" t="inlineStr">
        <is>
          <t>White background, pale sky-blue elevations, modest shadows, generous spacing.</t>
        </is>
      </c>
      <c r="C15" s="14" t="inlineStr">
        <is>
          <t>The platform should feel trustworthy and modern rather than heavy or gloomy.</t>
        </is>
      </c>
    </row>
    <row r="16" ht="57" customHeight="1">
      <c r="A16" s="14" t="inlineStr">
        <is>
          <t>Clinical density without clutter</t>
        </is>
      </c>
      <c r="B16" s="14" t="inlineStr">
        <is>
          <t>Structured sections, clear labels, grouped controls, visible units and stages.</t>
        </is>
      </c>
      <c r="C16" s="14" t="inlineStr">
        <is>
          <t>Doctors should be able to read quickly without hunting.</t>
        </is>
      </c>
    </row>
    <row r="17" ht="71.25" customHeight="1">
      <c r="A17" s="14" t="inlineStr">
        <is>
          <t>Color means urgency</t>
        </is>
      </c>
      <c r="B17" s="14" t="inlineStr">
        <is>
          <t>Blue = operating/default, amber = watch, red = urgent, green = complete.</t>
        </is>
      </c>
      <c r="C17" s="14" t="inlineStr">
        <is>
          <t>Signals must be scannable at a distance.</t>
        </is>
      </c>
    </row>
    <row r="18" ht="57" customHeight="1">
      <c r="A18" s="14" t="inlineStr">
        <is>
          <t>Drilldown everywhere</t>
        </is>
      </c>
      <c r="B18" s="14" t="inlineStr">
        <is>
          <t>Metrics and charts should lead back to the patient list or patient file.</t>
        </is>
      </c>
      <c r="C18" s="14" t="inlineStr">
        <is>
          <t>The analytics layer must stay actionable.</t>
        </is>
      </c>
    </row>
    <row r="19" ht="57" customHeight="1">
      <c r="A19" s="14" t="inlineStr">
        <is>
          <t>Governed intelligence</t>
        </is>
      </c>
      <c r="B19" s="14" t="inlineStr">
        <is>
          <t>AI Buddy stays stepwise, bounded, and evidence-anchored.</t>
        </is>
      </c>
      <c r="C19" s="14" t="inlineStr">
        <is>
          <t>The platform should feel intelligent without ever feeling improvisational.</t>
        </is>
      </c>
    </row>
    <row r="20" ht="57" customHeight="1">
      <c r="A20" s="14" t="inlineStr">
        <is>
          <t>Explainable alerts</t>
        </is>
      </c>
      <c r="B20" s="14" t="inlineStr">
        <is>
          <t>A care gap should always show why it opened and what field or event would close it.</t>
        </is>
      </c>
      <c r="C20" s="14" t="inlineStr">
        <is>
          <t>Users need trust in the engine.</t>
        </is>
      </c>
    </row>
  </sheetData>
  <mergeCells count="2">
    <mergeCell ref="A2:H2"/>
    <mergeCell ref="A1:H1"/>
  </mergeCells>
  <pageMargins left="0.7" right="0.7" top="0.75" bottom="0.75" header="0.3" footer="0.3"/>
</worksheet>
</file>

<file path=xl/worksheets/sheet4.xml><?xml version="1.0" encoding="utf-8"?>
<worksheet xmlns="http://schemas.openxmlformats.org/spreadsheetml/2006/main">
  <sheetPr>
    <tabColor theme="9" tint="0.7999816888943144"/>
    <outlinePr summaryBelow="1" summaryRight="1"/>
    <pageSetUpPr/>
  </sheetPr>
  <dimension ref="A1:F17"/>
  <sheetViews>
    <sheetView showGridLines="0" zoomScale="110" zoomScaleNormal="110" workbookViewId="0">
      <selection activeCell="B13" sqref="B13"/>
    </sheetView>
  </sheetViews>
  <sheetFormatPr baseColWidth="8" defaultColWidth="8.875" defaultRowHeight="14.25"/>
  <cols>
    <col width="20" customWidth="1" min="1" max="1"/>
    <col width="24" customWidth="1" min="2" max="2"/>
    <col width="42" customWidth="1" min="3" max="3"/>
    <col width="38" customWidth="1" min="4" max="4"/>
    <col width="28" customWidth="1" min="5" max="5"/>
    <col width="36" customWidth="1" min="6" max="6"/>
  </cols>
  <sheetData>
    <row r="1" ht="15.75" customHeight="1">
      <c r="A1" s="12" t="inlineStr">
        <is>
          <t>Screen Blueprint</t>
        </is>
      </c>
    </row>
    <row r="2">
      <c r="A2" s="13" t="inlineStr">
        <is>
          <t>Screen-by-screen explanation of what the user sees, what each surface is for, and what data or logic makes it useful.</t>
        </is>
      </c>
    </row>
    <row r="4" ht="15" customHeight="1">
      <c r="A4" s="2" t="inlineStr">
        <is>
          <t>Surface</t>
        </is>
      </c>
      <c r="B4" s="2" t="inlineStr">
        <is>
          <t>Primary Job</t>
        </is>
      </c>
      <c r="C4" s="2" t="inlineStr">
        <is>
          <t>What The User Sees First</t>
        </is>
      </c>
      <c r="D4" s="2" t="inlineStr">
        <is>
          <t>Core Actions</t>
        </is>
      </c>
      <c r="E4" s="2" t="inlineStr">
        <is>
          <t>Visual Character</t>
        </is>
      </c>
      <c r="F4" s="2" t="inlineStr">
        <is>
          <t>Depends On</t>
        </is>
      </c>
    </row>
    <row r="5" ht="57" customHeight="1">
      <c r="A5" s="14" t="inlineStr">
        <is>
          <t>Home</t>
        </is>
      </c>
      <c r="B5" s="14" t="inlineStr">
        <is>
          <t>Start-of-day command centre</t>
        </is>
      </c>
      <c r="C5" s="14" t="inlineStr">
        <is>
          <t>Warm welcome, department glance, quick actions, cohort pulse, benchmark cards, nudge trends, surfaced cases</t>
        </is>
      </c>
      <c r="D5" s="14" t="inlineStr">
        <is>
          <t>AI Buddy, Open Patient File, Go to Dashboard, Review Missed and High-Priority Patients, Review Care Gaps, Add New Patient</t>
        </is>
      </c>
      <c r="E5" s="14" t="inlineStr">
        <is>
          <t>Airy, bright, action-first, confidence-building</t>
        </is>
      </c>
      <c r="F5" s="14" t="inlineStr">
        <is>
          <t>User context, cohort metrics, care-gap engine, benchmark logic, surfaced-patient ranking</t>
        </is>
      </c>
    </row>
    <row r="6" ht="28.5" customHeight="1">
      <c r="A6" s="14" t="inlineStr">
        <is>
          <t>Patient List</t>
        </is>
      </c>
      <c r="B6" s="14" t="inlineStr">
        <is>
          <t>Operational roster and search</t>
        </is>
      </c>
      <c r="C6" s="14" t="inlineStr">
        <is>
          <t>A searchable queue segmented by Last Visit, Upcoming, Missed / Overdue</t>
        </is>
      </c>
      <c r="D6" s="14" t="inlineStr">
        <is>
          <t>Search, filter by visit state, open any patient, add patient</t>
        </is>
      </c>
      <c r="E6" s="14" t="inlineStr">
        <is>
          <t>Fast, practical, low-noise, queue-oriented</t>
        </is>
      </c>
      <c r="F6" s="14" t="inlineStr">
        <is>
          <t>Patient master list, visit status, urgency signals</t>
        </is>
      </c>
    </row>
    <row r="7" ht="28.5" customHeight="1">
      <c r="A7" s="14" t="inlineStr">
        <is>
          <t>Patient File Shell</t>
        </is>
      </c>
      <c r="B7" s="14" t="inlineStr">
        <is>
          <t>Single-patient command centre</t>
        </is>
      </c>
      <c r="C7" s="14" t="inlineStr">
        <is>
          <t>Unique patient code, status strip, quick metrics rail, left navigation, top utility actions</t>
        </is>
      </c>
      <c r="D7" s="14" t="inlineStr">
        <is>
          <t>Guidelines, Upload Rx, Discuss with Team, Print Summary, AI Buddy</t>
        </is>
      </c>
      <c r="E7" s="14" t="inlineStr">
        <is>
          <t>High-trust, clinically dense, still calm and legible</t>
        </is>
      </c>
      <c r="F7" s="14" t="inlineStr">
        <is>
          <t>Patient code, biomarker snapshot, treatment stage, role-based controls</t>
        </is>
      </c>
    </row>
    <row r="8" ht="28.5" customHeight="1">
      <c r="A8" s="14" t="inlineStr">
        <is>
          <t>Patient File · Nudges &amp; Alerts</t>
        </is>
      </c>
      <c r="B8" s="14" t="inlineStr">
        <is>
          <t>Make missing steps visible</t>
        </is>
      </c>
      <c r="C8" s="14" t="inlineStr">
        <is>
          <t>Severity-coded nudges with explainable reason and next-step expectation</t>
        </is>
      </c>
      <c r="D8" s="14" t="inlineStr">
        <is>
          <t>Acknowledge, route to team, mark acted/resolved</t>
        </is>
      </c>
      <c r="E8" s="14" t="inlineStr">
        <is>
          <t>Governed, sharp, operationally explicit</t>
        </is>
      </c>
      <c r="F8" s="14" t="inlineStr">
        <is>
          <t>Care-gap rules, case status, action trail</t>
        </is>
      </c>
    </row>
    <row r="9" ht="28.5" customHeight="1">
      <c r="A9" s="14" t="inlineStr">
        <is>
          <t>Patient File · Demographics</t>
        </is>
      </c>
      <c r="B9" s="14" t="inlineStr">
        <is>
          <t>Capture de-identified registry and access context</t>
        </is>
      </c>
      <c r="C9" s="14" t="inlineStr">
        <is>
          <t>Unique code, age at diagnosis, coverage, geography, language, referral context</t>
        </is>
      </c>
      <c r="D9" s="14" t="inlineStr">
        <is>
          <t>Edit, save, keep the unique code synchronized</t>
        </is>
      </c>
      <c r="E9" s="14" t="inlineStr">
        <is>
          <t>Simple form blocks, low cognitive overhead</t>
        </is>
      </c>
      <c r="F9" s="14" t="inlineStr">
        <is>
          <t>Demographics_Entry</t>
        </is>
      </c>
    </row>
    <row r="10" ht="15" customHeight="1">
      <c r="A10" s="10" t="inlineStr">
        <is>
          <t>Visit-wise entry</t>
        </is>
      </c>
      <c r="B10" s="14" t="n"/>
      <c r="C10" s="14" t="n"/>
      <c r="D10" s="14" t="n"/>
      <c r="E10" s="14" t="n"/>
      <c r="F10" s="14" t="n"/>
    </row>
    <row r="11" ht="28.5" customHeight="1">
      <c r="A11" s="11" t="inlineStr">
        <is>
          <t>Patient File · Clinical Assessment</t>
        </is>
      </c>
      <c r="B11" s="11" t="inlineStr">
        <is>
          <t>Capture disease workup and current state</t>
        </is>
      </c>
      <c r="C11" s="11" t="inlineStr">
        <is>
          <t>PSA history, biopsy, imaging, comorbidities, family history, staging</t>
        </is>
      </c>
      <c r="D11" s="11" t="inlineStr">
        <is>
          <t>Add PSA, update workup, complete staging</t>
        </is>
      </c>
      <c r="E11" s="11" t="inlineStr">
        <is>
          <t>Structured, evidence-ready, timeline-aware</t>
        </is>
      </c>
      <c r="F11" s="11" t="inlineStr">
        <is>
          <t>Clinical_Entry + PSA_History</t>
        </is>
      </c>
    </row>
    <row r="12" ht="28.5" customHeight="1">
      <c r="A12" s="11" t="inlineStr">
        <is>
          <t>Patient File · Treatment Plan</t>
        </is>
      </c>
      <c r="B12" s="11" t="inlineStr">
        <is>
          <t>Capture intent and active management</t>
        </is>
      </c>
      <c r="C12" s="11" t="inlineStr">
        <is>
          <t>MDT status, systemic therapy, RT plan, bone health, supportive care</t>
        </is>
      </c>
      <c r="D12" s="11" t="inlineStr">
        <is>
          <t>Update treatment, log approvals, schedule follow-up</t>
        </is>
      </c>
      <c r="E12" s="11" t="inlineStr">
        <is>
          <t>Operational and therapy-centric</t>
        </is>
      </c>
      <c r="F12" s="11" t="inlineStr">
        <is>
          <t>Treatment_Entry</t>
        </is>
      </c>
    </row>
    <row r="13" ht="28.5" customHeight="1">
      <c r="A13" s="11" t="inlineStr">
        <is>
          <t>Patient File · Patient Journey</t>
        </is>
      </c>
      <c r="B13" s="11" t="inlineStr">
        <is>
          <t>Show the whole case longitudinally</t>
        </is>
      </c>
      <c r="C13" s="11" t="inlineStr">
        <is>
          <t>Chronological event timeline from presentation to follow-up</t>
        </is>
      </c>
      <c r="D13" s="11" t="inlineStr">
        <is>
          <t>Add event, inspect treatment milestones</t>
        </is>
      </c>
      <c r="E13" s="11" t="inlineStr">
        <is>
          <t>Narrative but structured</t>
        </is>
      </c>
      <c r="F13" s="11" t="inlineStr">
        <is>
          <t>Journey_Events</t>
        </is>
      </c>
    </row>
    <row r="14" ht="28.5" customHeight="1">
      <c r="A14" s="14" t="inlineStr">
        <is>
          <t>Team Discussion / Nudge Modal</t>
        </is>
      </c>
      <c r="B14" s="14" t="inlineStr">
        <is>
          <t>Close the loop across the MDT</t>
        </is>
      </c>
      <c r="C14" s="14" t="inlineStr">
        <is>
          <t>Recipient selector, reason, subject, note, discussion trail</t>
        </is>
      </c>
      <c r="D14" s="14" t="inlineStr">
        <is>
          <t>Notify team, document rationale, preserve auditability</t>
        </is>
      </c>
      <c r="E14" s="14" t="inlineStr">
        <is>
          <t>Collaborative, accountable, not chatty</t>
        </is>
      </c>
      <c r="F14" s="14" t="inlineStr">
        <is>
          <t>Nudge state + team directory + discussion log</t>
        </is>
      </c>
    </row>
    <row r="15" ht="28.5" customHeight="1">
      <c r="A15" s="14" t="inlineStr">
        <is>
          <t>Guidelines Surface</t>
        </is>
      </c>
      <c r="B15" s="14" t="inlineStr">
        <is>
          <t>Keep guideline context close to the case</t>
        </is>
      </c>
      <c r="C15" s="14" t="inlineStr">
        <is>
          <t>Quick-reference rules, staging expectations, treatment checkpoints, India vs NCCN nuances</t>
        </is>
      </c>
      <c r="D15" s="14" t="inlineStr">
        <is>
          <t>Open guideline references during review</t>
        </is>
      </c>
      <c r="E15" s="14" t="inlineStr">
        <is>
          <t>Reference-first, not overwhelming</t>
        </is>
      </c>
      <c r="F15" s="14" t="inlineStr">
        <is>
          <t>Guideline pack configuration</t>
        </is>
      </c>
    </row>
    <row r="16" ht="28.5" customHeight="1">
      <c r="A16" s="14" t="inlineStr">
        <is>
          <t>Population Dashboard</t>
        </is>
      </c>
      <c r="B16" s="14" t="inlineStr">
        <is>
          <t>Read the department or site as a living cohort</t>
        </is>
      </c>
      <c r="C16" s="14" t="inlineStr">
        <is>
          <t>Overview, Clinical Profile, Treatment, Outcomes, Quality &amp; Gaps, Demographics</t>
        </is>
      </c>
      <c r="D16" s="14" t="inlineStr">
        <is>
          <t>Filter by time, drill into chart segments, export</t>
        </is>
      </c>
      <c r="E16" s="14" t="inlineStr">
        <is>
          <t>Analytical, panoramic, still clinically grounded</t>
        </is>
      </c>
      <c r="F16" s="14" t="inlineStr">
        <is>
          <t>Aggregated patient data + derived cohort fields</t>
        </is>
      </c>
    </row>
    <row r="17" ht="42.75" customHeight="1">
      <c r="A17" s="14" t="inlineStr">
        <is>
          <t>AI Buddy</t>
        </is>
      </c>
      <c r="B17" s="14" t="inlineStr">
        <is>
          <t>Guided, stepwise pathway review</t>
        </is>
      </c>
      <c r="C17" s="14" t="inlineStr">
        <is>
          <t>A contained overlay with explicit steps, evidence status, and bounded next-path suggestions</t>
        </is>
      </c>
      <c r="D17" s="14" t="inlineStr">
        <is>
          <t>Continue step by step, open patient file, review access and trial routes</t>
        </is>
      </c>
      <c r="E17" s="14" t="inlineStr">
        <is>
          <t>Governed intelligence, not free-form generation</t>
        </is>
      </c>
      <c r="F17" s="14" t="inlineStr">
        <is>
          <t>Structured record + guideline packs + practice logs + retrospective signals + access rules</t>
        </is>
      </c>
    </row>
  </sheetData>
  <mergeCells count="2">
    <mergeCell ref="A2:F2"/>
    <mergeCell ref="A1:F1"/>
  </mergeCells>
  <pageMargins left="0.7" right="0.7" top="0.75" bottom="0.75" header="0.3" footer="0.3"/>
</worksheet>
</file>

<file path=xl/worksheets/sheet5.xml><?xml version="1.0" encoding="utf-8"?>
<worksheet xmlns="http://schemas.openxmlformats.org/spreadsheetml/2006/main">
  <sheetPr>
    <tabColor theme="9" tint="0.7999816888943144"/>
    <outlinePr summaryBelow="1" summaryRight="1"/>
    <pageSetUpPr/>
  </sheetPr>
  <dimension ref="A1:F13"/>
  <sheetViews>
    <sheetView showGridLines="0" zoomScale="90" zoomScaleNormal="90" workbookViewId="0">
      <selection activeCell="A7" sqref="A7"/>
    </sheetView>
  </sheetViews>
  <sheetFormatPr baseColWidth="8" defaultColWidth="8.875" defaultRowHeight="14.25"/>
  <cols>
    <col width="24" customWidth="1" min="1" max="2"/>
    <col width="42" customWidth="1" min="3" max="3"/>
    <col width="28" customWidth="1" min="4" max="4"/>
    <col width="26" customWidth="1" min="5" max="5"/>
    <col width="30" customWidth="1" min="6" max="6"/>
  </cols>
  <sheetData>
    <row r="1" ht="15.75" customHeight="1">
      <c r="A1" s="12" t="inlineStr">
        <is>
          <t>Workflow Blueprint</t>
        </is>
      </c>
    </row>
    <row r="2">
      <c r="A2" s="13" t="inlineStr">
        <is>
          <t>The platform is best understood as a set of recurring clinical and operational workflows. This tab makes the rhythm explicit.</t>
        </is>
      </c>
    </row>
    <row r="4" ht="15" customHeight="1">
      <c r="A4" s="2" t="inlineStr">
        <is>
          <t>Workflow</t>
        </is>
      </c>
      <c r="B4" s="2" t="inlineStr">
        <is>
          <t>Trigger</t>
        </is>
      </c>
      <c r="C4" s="2" t="inlineStr">
        <is>
          <t>Key Steps</t>
        </is>
      </c>
      <c r="D4" s="2" t="inlineStr">
        <is>
          <t>Output</t>
        </is>
      </c>
      <c r="E4" s="2" t="inlineStr">
        <is>
          <t>Visible Surfaces</t>
        </is>
      </c>
      <c r="F4" s="2" t="inlineStr">
        <is>
          <t>Success Signal</t>
        </is>
      </c>
    </row>
    <row r="5" ht="42.75" customHeight="1">
      <c r="A5" s="14" t="inlineStr">
        <is>
          <t>Patient onboarding</t>
        </is>
      </c>
      <c r="B5" s="14" t="inlineStr">
        <is>
          <t>A new patient enters the registry</t>
        </is>
      </c>
      <c r="C5" s="14" t="inlineStr">
        <is>
          <t>Add New Patient -&gt; complete demographics -&gt; complete clinical workup shell -&gt; initialize treatment and follow-up fields</t>
        </is>
      </c>
      <c r="D5" s="14" t="inlineStr">
        <is>
          <t>A searchable longitudinal record exists and appears in cohort counts</t>
        </is>
      </c>
      <c r="E5" s="14" t="inlineStr">
        <is>
          <t>Home, Patient File, Patient List</t>
        </is>
      </c>
      <c r="F5" s="14" t="inlineStr">
        <is>
          <t>Patient becomes visible in the operational system immediately.</t>
        </is>
      </c>
    </row>
    <row r="6" ht="28.5" customHeight="1">
      <c r="A6" s="14" t="inlineStr">
        <is>
          <t>W1 Start-of-day clinical triage</t>
        </is>
      </c>
      <c r="B6" s="14" t="inlineStr">
        <is>
          <t>Doctor opens the platform at the start of clinic</t>
        </is>
      </c>
      <c r="C6" s="14" t="inlineStr">
        <is>
          <t>Scan Department at a glance -&gt; review quick-action cards -&gt; open surfaced patient or AI Buddy</t>
        </is>
      </c>
      <c r="D6" s="14" t="inlineStr">
        <is>
          <t>Highest-priority cases are pulled forward fast</t>
        </is>
      </c>
      <c r="E6" s="14" t="inlineStr">
        <is>
          <t>Home, Patient File, AI Buddy</t>
        </is>
      </c>
      <c r="F6" s="14" t="inlineStr">
        <is>
          <t>Minimal clicks from signal to chart to action.</t>
        </is>
      </c>
    </row>
    <row r="7" ht="42.75" customHeight="1">
      <c r="A7" s="14" t="inlineStr">
        <is>
          <t>W2 Department patient review</t>
        </is>
      </c>
      <c r="B7" s="14" t="inlineStr">
        <is>
          <t>Doctor or staff scans the day’s list</t>
        </is>
      </c>
      <c r="C7" s="14" t="inlineStr">
        <is>
          <t>Filter patient list by visit status -&gt; search -&gt; open selected file -&gt; check current nudges and treatment state</t>
        </is>
      </c>
      <c r="D7" s="14" t="inlineStr">
        <is>
          <t>Roster turns into an ordered working list</t>
        </is>
      </c>
      <c r="E7" s="14" t="inlineStr">
        <is>
          <t>Patient List, Patient File</t>
        </is>
      </c>
      <c r="F7" s="14" t="inlineStr">
        <is>
          <t>Queue state and patient urgency are obvious at a glance.</t>
        </is>
      </c>
    </row>
    <row r="8" ht="42.75" customHeight="1">
      <c r="A8" s="14" t="inlineStr">
        <is>
          <t>Clinical workup completion</t>
        </is>
      </c>
      <c r="B8" s="14" t="inlineStr">
        <is>
          <t>The file is opened and staging / pathology is incomplete</t>
        </is>
      </c>
      <c r="C8" s="14" t="inlineStr">
        <is>
          <t>Enter PSA, biopsy, imaging, staging, comorbidity, family history -&gt; save -&gt; review resulting nudges</t>
        </is>
      </c>
      <c r="D8" s="14" t="inlineStr">
        <is>
          <t>The case becomes clinically interpretable and quality logic activates</t>
        </is>
      </c>
      <c r="E8" s="14" t="inlineStr">
        <is>
          <t>Patient File · Clinical Assessment, Care_Gap_Tracker</t>
        </is>
      </c>
      <c r="F8" s="14" t="inlineStr">
        <is>
          <t>Missing staging steps become explicit immediately.</t>
        </is>
      </c>
    </row>
    <row r="9" ht="42.75" customHeight="1">
      <c r="A9" s="14" t="inlineStr">
        <is>
          <t>Treatment planning and update</t>
        </is>
      </c>
      <c r="B9" s="14" t="inlineStr">
        <is>
          <t>The team agrees a treatment pathway</t>
        </is>
      </c>
      <c r="C9" s="14" t="inlineStr">
        <is>
          <t>Record intent, MDT status, ADT / ARSI / RT details, approvals, supportive care, follow-up schedule</t>
        </is>
      </c>
      <c r="D9" s="14" t="inlineStr">
        <is>
          <t>Treatment state becomes auditable and cohort analytics update</t>
        </is>
      </c>
      <c r="E9" s="14" t="inlineStr">
        <is>
          <t>Patient File · Treatment Plan, Population Dashboard</t>
        </is>
      </c>
      <c r="F9" s="14" t="inlineStr">
        <is>
          <t>Therapy path and access barriers are documented, not implied.</t>
        </is>
      </c>
    </row>
    <row r="10" ht="42.75" customHeight="1">
      <c r="A10" s="14" t="inlineStr">
        <is>
          <t>W4 Care-gap resolution</t>
        </is>
      </c>
      <c r="B10" s="14" t="inlineStr">
        <is>
          <t>A gap is generated by the engine</t>
        </is>
      </c>
      <c r="C10" s="14" t="inlineStr">
        <is>
          <t>Review why it opened -&gt; acknowledge -&gt; notify team if needed -&gt; act -&gt; mark resolved when documented</t>
        </is>
      </c>
      <c r="D10" s="14" t="inlineStr">
        <is>
          <t>The gap moves through a traceable lifecycle</t>
        </is>
      </c>
      <c r="E10" s="14" t="inlineStr">
        <is>
          <t>Patient File · Nudges, Team modal, Care_Gap_Tracker</t>
        </is>
      </c>
      <c r="F10" s="14" t="inlineStr">
        <is>
          <t>Signals are explainable and closure is logged.</t>
        </is>
      </c>
    </row>
    <row r="11" ht="42.75" customHeight="1">
      <c r="A11" s="14" t="inlineStr">
        <is>
          <t>MDT governance</t>
        </is>
      </c>
      <c r="B11" s="14" t="inlineStr">
        <is>
          <t>A complex or high-risk case needs multidisciplinary sign-off</t>
        </is>
      </c>
      <c r="C11" s="14" t="inlineStr">
        <is>
          <t>Open file -&gt; review workup and treatment plan -&gt; discuss with team -&gt; capture MDT outcome or waiver</t>
        </is>
      </c>
      <c r="D11" s="14" t="inlineStr">
        <is>
          <t>MDT completion becomes visible in both patient and cohort views</t>
        </is>
      </c>
      <c r="E11" s="14" t="inlineStr">
        <is>
          <t>Patient File, Team modal, Population Dashboard</t>
        </is>
      </c>
      <c r="F11" s="14" t="inlineStr">
        <is>
          <t>Governance is part of workflow, not a side process.</t>
        </is>
      </c>
    </row>
    <row r="12" ht="42.75" customHeight="1">
      <c r="A12" s="14" t="inlineStr">
        <is>
          <t>W3 Cohort quality review</t>
        </is>
      </c>
      <c r="B12" s="14" t="inlineStr">
        <is>
          <t>Department lead or site admin opens the dashboard</t>
        </is>
      </c>
      <c r="C12" s="14" t="inlineStr">
        <is>
          <t>Move across overview, treatment, outcomes, quality, and demographics -&gt; drill into any metric -&gt; open underlying patients</t>
        </is>
      </c>
      <c r="D12" s="14" t="inlineStr">
        <is>
          <t>Population-level weakness turns into patient-level action</t>
        </is>
      </c>
      <c r="E12" s="14" t="inlineStr">
        <is>
          <t>Population Dashboard, Patient File</t>
        </is>
      </c>
      <c r="F12" s="14" t="inlineStr">
        <is>
          <t>Charts are not decorative; each one routes back to cases.</t>
        </is>
      </c>
    </row>
    <row r="13" ht="42.75" customHeight="1">
      <c r="A13" s="14" t="inlineStr">
        <is>
          <t>AI Buddy guided review</t>
        </is>
      </c>
      <c r="B13" s="14" t="inlineStr">
        <is>
          <t>User wants a bounded, evidence-anchored pathway review</t>
        </is>
      </c>
      <c r="C13" s="14" t="inlineStr">
        <is>
          <t>Open AI Buddy -&gt; move through the steps -&gt; review guideline branch, retrospective pattern, access route, trials -&gt; jump back to file</t>
        </is>
      </c>
      <c r="D13" s="14" t="inlineStr">
        <is>
          <t>A governed next-path view is surfaced without leaving context</t>
        </is>
      </c>
      <c r="E13" s="14" t="inlineStr">
        <is>
          <t>Home or Patient File, AI Buddy</t>
        </is>
      </c>
      <c r="F13" s="14" t="inlineStr">
        <is>
          <t>The system remains stepwise and auditable rather than chat-like.</t>
        </is>
      </c>
    </row>
  </sheetData>
  <mergeCells count="2">
    <mergeCell ref="A2:F2"/>
    <mergeCell ref="A1:F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23"/>
  <sheetViews>
    <sheetView showGridLines="0" topLeftCell="A5" zoomScale="80" zoomScaleNormal="80" workbookViewId="0">
      <selection activeCell="K14" sqref="K14"/>
    </sheetView>
  </sheetViews>
  <sheetFormatPr baseColWidth="8" defaultColWidth="8.875" defaultRowHeight="14.25"/>
  <cols>
    <col width="24" customWidth="1" min="1" max="1"/>
    <col width="34" customWidth="1" min="2" max="2"/>
    <col width="24" customWidth="1" min="3" max="3"/>
    <col width="18" customWidth="1" min="4" max="4"/>
    <col width="34" customWidth="1" min="5" max="5"/>
    <col width="26" customWidth="1" min="6" max="6"/>
  </cols>
  <sheetData>
    <row r="1" ht="15.75" customHeight="1">
      <c r="A1" s="12" t="inlineStr">
        <is>
          <t>Capture Blueprint</t>
        </is>
      </c>
    </row>
    <row r="2">
      <c r="A2" s="13" t="inlineStr">
        <is>
          <t>Grouped view of what the platform captures, where it is captured, what control style is used, and why the data matters clinically and analytically.</t>
        </is>
      </c>
    </row>
    <row r="4" ht="15" customHeight="1">
      <c r="A4" s="2" t="inlineStr">
        <is>
          <t>Capture Domain</t>
        </is>
      </c>
      <c r="B4" s="2" t="inlineStr">
        <is>
          <t>What The Platform Captures</t>
        </is>
      </c>
      <c r="C4" s="2" t="inlineStr">
        <is>
          <t>Primary Sheet / Surface</t>
        </is>
      </c>
      <c r="D4" s="2" t="inlineStr">
        <is>
          <t>Control Style</t>
        </is>
      </c>
      <c r="E4" s="2" t="inlineStr">
        <is>
          <t>Why It Matters</t>
        </is>
      </c>
      <c r="F4" s="2" t="inlineStr">
        <is>
          <t>Used By</t>
        </is>
      </c>
    </row>
    <row r="5" ht="42.75" customHeight="1">
      <c r="A5" s="14" t="inlineStr">
        <is>
          <t>Registry linkage</t>
        </is>
      </c>
      <c r="B5" s="14" t="inlineStr">
        <is>
          <t>Unique patient code, registry enrolment date, age at diagnosis</t>
        </is>
      </c>
      <c r="C5" s="14" t="inlineStr">
        <is>
          <t>Demographics_Entry</t>
        </is>
      </c>
      <c r="D5" s="14" t="inlineStr">
        <is>
          <t>Text, date, numeric</t>
        </is>
      </c>
      <c r="E5" s="14" t="inlineStr">
        <is>
          <t>Links every sheet and drives registration / age analytics without personal identifiers</t>
        </is>
      </c>
      <c r="F5" s="14" t="inlineStr">
        <is>
          <t>Patient header, list, dashboards</t>
        </is>
      </c>
    </row>
    <row r="6" ht="28.5" customHeight="1">
      <c r="A6" s="14" t="inlineStr">
        <is>
          <t>Coverage and payer context</t>
        </is>
      </c>
      <c r="B6" s="14" t="inlineStr">
        <is>
          <t>Healthcare coverage, pre-auth state, referral centre, referral source</t>
        </is>
      </c>
      <c r="C6" s="14" t="inlineStr">
        <is>
          <t>Demographics_Entry + Treatment_Entry</t>
        </is>
      </c>
      <c r="D6" s="14" t="inlineStr">
        <is>
          <t>Dropdowns and dates</t>
        </is>
      </c>
      <c r="E6" s="14" t="inlineStr">
        <is>
          <t>Explains access delays, affordability, and approval bottlenecks</t>
        </is>
      </c>
      <c r="F6" s="14" t="inlineStr">
        <is>
          <t>Patient file, treatment analytics, quality charts</t>
        </is>
      </c>
    </row>
    <row r="7" ht="42.75" customHeight="1">
      <c r="A7" s="14" t="inlineStr">
        <is>
          <t>Geography and access context</t>
        </is>
      </c>
      <c r="B7" s="14" t="inlineStr">
        <is>
          <t>State, travel distance, language preference</t>
        </is>
      </c>
      <c r="C7" s="14" t="inlineStr">
        <is>
          <t>Demographics_Entry</t>
        </is>
      </c>
      <c r="D7" s="14" t="inlineStr">
        <is>
          <t>Dropdowns and numeric</t>
        </is>
      </c>
      <c r="E7" s="14" t="inlineStr">
        <is>
          <t>Supports travel burden, language mix, and access planning without direct identifiers</t>
        </is>
      </c>
      <c r="F7" s="14" t="inlineStr">
        <is>
          <t>Demographics dashboard, patient context</t>
        </is>
      </c>
    </row>
    <row r="8" ht="28.5" customHeight="1">
      <c r="A8" s="14" t="inlineStr">
        <is>
          <t>Referral context</t>
        </is>
      </c>
      <c r="B8" s="14" t="inlineStr">
        <is>
          <t>Referring centre and referral source</t>
        </is>
      </c>
      <c r="C8" s="14" t="inlineStr">
        <is>
          <t>Demographics_Entry</t>
        </is>
      </c>
      <c r="D8" s="14" t="inlineStr">
        <is>
          <t>Dropdowns</t>
        </is>
      </c>
      <c r="E8" s="14" t="inlineStr">
        <is>
          <t>Shows where patients come from and how the network behaves</t>
        </is>
      </c>
      <c r="F8" s="14" t="inlineStr">
        <is>
          <t>Home, demographics dashboard</t>
        </is>
      </c>
    </row>
    <row r="9" ht="28.5" customHeight="1">
      <c r="A9" s="14" t="inlineStr">
        <is>
          <t>Presenting complaint</t>
        </is>
      </c>
      <c r="B9" s="14" t="inlineStr">
        <is>
          <t>Primary complaint, duration, IPSS, bowel/rectal symptoms</t>
        </is>
      </c>
      <c r="C9" s="14" t="inlineStr">
        <is>
          <t>Clinical_Entry</t>
        </is>
      </c>
      <c r="D9" s="14" t="inlineStr">
        <is>
          <t>Dropdowns, text</t>
        </is>
      </c>
      <c r="E9" s="14" t="inlineStr">
        <is>
          <t>Captures the initial clinical picture</t>
        </is>
      </c>
      <c r="F9" s="14" t="inlineStr">
        <is>
          <t>Patient file clinical view</t>
        </is>
      </c>
    </row>
    <row r="10" ht="28.5" customHeight="1">
      <c r="A10" s="14" t="inlineStr">
        <is>
          <t>Physical and baseline exam</t>
        </is>
      </c>
      <c r="B10" s="14" t="inlineStr">
        <is>
          <t>DRE findings, prostate volume, ECOG, castration status</t>
        </is>
      </c>
      <c r="C10" s="14" t="inlineStr">
        <is>
          <t>Clinical_Entry</t>
        </is>
      </c>
      <c r="D10" s="14" t="inlineStr">
        <is>
          <t>Dropdowns, numeric</t>
        </is>
      </c>
      <c r="E10" s="14" t="inlineStr">
        <is>
          <t>Defines disease baseline and functional status</t>
        </is>
      </c>
      <c r="F10" s="14" t="inlineStr">
        <is>
          <t>Patient file, demographics and outcomes analytics</t>
        </is>
      </c>
    </row>
    <row r="11" ht="28.5" customHeight="1">
      <c r="A11" s="14" t="inlineStr">
        <is>
          <t>Pathology</t>
        </is>
      </c>
      <c r="B11" s="14" t="inlineStr">
        <is>
          <t>Biopsy date/type, PI-RADS, Gleason, ISUP, cores, invasion markers</t>
        </is>
      </c>
      <c r="C11" s="14" t="inlineStr">
        <is>
          <t>Clinical_Entry</t>
        </is>
      </c>
      <c r="D11" s="14" t="inlineStr">
        <is>
          <t>Dropdowns, dates, numeric/text</t>
        </is>
      </c>
      <c r="E11" s="14" t="inlineStr">
        <is>
          <t>Defines grade and pathology risk</t>
        </is>
      </c>
      <c r="F11" s="14" t="inlineStr">
        <is>
          <t>Clinical analytics, pathway review</t>
        </is>
      </c>
    </row>
    <row r="12" ht="28.5" customHeight="1">
      <c r="A12" s="14" t="inlineStr">
        <is>
          <t>Staging</t>
        </is>
      </c>
      <c r="B12" s="14" t="inlineStr">
        <is>
          <t>Clinical T/N/M stage and EAU risk category</t>
        </is>
      </c>
      <c r="C12" s="14" t="inlineStr">
        <is>
          <t>Clinical_Entry</t>
        </is>
      </c>
      <c r="D12" s="14" t="inlineStr">
        <is>
          <t>Dropdowns</t>
        </is>
      </c>
      <c r="E12" s="14" t="inlineStr">
        <is>
          <t>Anchors treatment pathway, quality logic, and cohort stratification</t>
        </is>
      </c>
      <c r="F12" s="14" t="inlineStr">
        <is>
          <t>Patient file, quality engine, dashboard</t>
        </is>
      </c>
    </row>
    <row r="13" ht="42.75" customHeight="1">
      <c r="A13" s="14" t="inlineStr">
        <is>
          <t>Imaging and molecular workup</t>
        </is>
      </c>
      <c r="B13" s="14" t="inlineStr">
        <is>
          <t>mpMRI, bone scan/SPECT, PSMA PET-CT, CT A/P, DEXA, germline/somatic testing</t>
        </is>
      </c>
      <c r="C13" s="14" t="inlineStr">
        <is>
          <t>Clinical_Entry</t>
        </is>
      </c>
      <c r="D13" s="14" t="inlineStr">
        <is>
          <t>Dropdowns</t>
        </is>
      </c>
      <c r="E13" s="14" t="inlineStr">
        <is>
          <t>Feeds staging completeness, bone health logic, genomics eligibility</t>
        </is>
      </c>
      <c r="F13" s="14" t="inlineStr">
        <is>
          <t>Care gaps, clinical dashboard, AI Buddy</t>
        </is>
      </c>
    </row>
    <row r="14" ht="28.5" customHeight="1">
      <c r="A14" s="14" t="inlineStr">
        <is>
          <t>Comorbidity and family history</t>
        </is>
      </c>
      <c r="B14" s="14" t="inlineStr">
        <is>
          <t>Active comorbidity flags and inherited risk context</t>
        </is>
      </c>
      <c r="C14" s="14" t="inlineStr">
        <is>
          <t>Clinical_Entry</t>
        </is>
      </c>
      <c r="D14" s="14" t="inlineStr">
        <is>
          <t>Yes/No flags</t>
        </is>
      </c>
      <c r="E14" s="14" t="inlineStr">
        <is>
          <t>Supports risk, supportive care, testing logic, and cohort comorbidity views</t>
        </is>
      </c>
      <c r="F14" s="14" t="inlineStr">
        <is>
          <t>Clinical dashboard, AI Buddy</t>
        </is>
      </c>
    </row>
    <row r="15" ht="28.5" customHeight="1">
      <c r="A15" s="14" t="inlineStr">
        <is>
          <t>MDT and trial readiness</t>
        </is>
      </c>
      <c r="B15" s="14" t="inlineStr">
        <is>
          <t>MDT status/date and clinical-trial eligibility</t>
        </is>
      </c>
      <c r="C15" s="14" t="inlineStr">
        <is>
          <t>Treatment_Entry</t>
        </is>
      </c>
      <c r="D15" s="14" t="inlineStr">
        <is>
          <t>Dropdowns, dates</t>
        </is>
      </c>
      <c r="E15" s="14" t="inlineStr">
        <is>
          <t>Shows governance completion and future trial pathway readiness</t>
        </is>
      </c>
      <c r="F15" s="14" t="inlineStr">
        <is>
          <t>Treatment, quality, AI Buddy</t>
        </is>
      </c>
    </row>
    <row r="16" ht="42.75" customHeight="1">
      <c r="A16" s="14" t="inlineStr">
        <is>
          <t>Systemic therapy</t>
        </is>
      </c>
      <c r="B16" s="14" t="inlineStr">
        <is>
          <t>ADT type, anti-androgen, ARSI, chemotherapy, testosterone monitoring, safety / side effects</t>
        </is>
      </c>
      <c r="C16" s="14" t="inlineStr">
        <is>
          <t>Treatment_Entry</t>
        </is>
      </c>
      <c r="D16" s="14" t="inlineStr">
        <is>
          <t>Dropdowns, dates, numeric/text</t>
        </is>
      </c>
      <c r="E16" s="14" t="inlineStr">
        <is>
          <t>Tracks active line, intensification, resistance review, and tolerance checkpoints</t>
        </is>
      </c>
      <c r="F16" s="14" t="inlineStr">
        <is>
          <t>Patient file, treatment and outcomes analytics</t>
        </is>
      </c>
    </row>
    <row r="17" ht="42.75" customHeight="1">
      <c r="A17" s="14" t="inlineStr">
        <is>
          <t>Radiotherapy</t>
        </is>
      </c>
      <c r="B17" s="14" t="inlineStr">
        <is>
          <t>RT indication, status, modality, target volume, dose/fractionation, facility, dates</t>
        </is>
      </c>
      <c r="C17" s="14" t="inlineStr">
        <is>
          <t>Treatment_Entry</t>
        </is>
      </c>
      <c r="D17" s="14" t="inlineStr">
        <is>
          <t>Dropdowns and dates</t>
        </is>
      </c>
      <c r="E17" s="14" t="inlineStr">
        <is>
          <t>Explains planned vs active vs completed RT and downstream outcomes</t>
        </is>
      </c>
      <c r="F17" s="14" t="inlineStr">
        <is>
          <t>Patient file, treatment dashboard, outcomes</t>
        </is>
      </c>
    </row>
    <row r="18" ht="42.75" customHeight="1">
      <c r="A18" s="14" t="inlineStr">
        <is>
          <t>Bone health and supportive care</t>
        </is>
      </c>
      <c r="B18" s="14" t="inlineStr">
        <is>
          <t>Bone protection, calcium/Vit D, DEXA follow-up, psychosocial and nutritional status</t>
        </is>
      </c>
      <c r="C18" s="14" t="inlineStr">
        <is>
          <t>Treatment_Entry</t>
        </is>
      </c>
      <c r="D18" s="14" t="inlineStr">
        <is>
          <t>Dropdowns, dates</t>
        </is>
      </c>
      <c r="E18" s="14" t="inlineStr">
        <is>
          <t>Feeds the most prominent quality gaps in the program</t>
        </is>
      </c>
      <c r="F18" s="14" t="inlineStr">
        <is>
          <t>Care_Gap_Tracker, quality dashboard, AI Buddy</t>
        </is>
      </c>
    </row>
    <row r="19" ht="42.75" customHeight="1">
      <c r="A19" s="14" t="inlineStr">
        <is>
          <t>Outcome markers</t>
        </is>
      </c>
      <c r="B19" s="14" t="inlineStr">
        <is>
          <t>Best response, PSA nadir, PSADT, biochemical recurrence, CRPC progression, RT outcome</t>
        </is>
      </c>
      <c r="C19" s="14" t="inlineStr">
        <is>
          <t>Outcomes_Entry</t>
        </is>
      </c>
      <c r="D19" s="14" t="inlineStr">
        <is>
          <t>Dropdowns, dates, numeric</t>
        </is>
      </c>
      <c r="E19" s="14" t="inlineStr">
        <is>
          <t>Turns the registry into an outcomes platform rather than just a documentation form</t>
        </is>
      </c>
      <c r="F19" s="14" t="inlineStr">
        <is>
          <t>Outcomes dashboard, pathway review</t>
        </is>
      </c>
    </row>
    <row r="20" ht="28.5" customHeight="1">
      <c r="A20" s="14" t="inlineStr">
        <is>
          <t>Longitudinal biomarker history</t>
        </is>
      </c>
      <c r="B20" s="14" t="inlineStr">
        <is>
          <t>Dated PSA values, free PSA, PSA density, contextual remarks</t>
        </is>
      </c>
      <c r="C20" s="14" t="inlineStr">
        <is>
          <t>PSA_History</t>
        </is>
      </c>
      <c r="D20" s="14" t="inlineStr">
        <is>
          <t>Repeating rows</t>
        </is>
      </c>
      <c r="E20" s="14" t="inlineStr">
        <is>
          <t>Drives trend lines, diagnostic distributions, response curves</t>
        </is>
      </c>
      <c r="F20" s="14" t="inlineStr">
        <is>
          <t>Clinical and outcomes dashboards</t>
        </is>
      </c>
    </row>
    <row r="21" ht="42.75" customHeight="1">
      <c r="A21" s="14" t="inlineStr">
        <is>
          <t>Longitudinal event journey</t>
        </is>
      </c>
      <c r="B21" s="14" t="inlineStr">
        <is>
          <t>Visits, imaging, procedures, treatment changes, admissions, MDT reviews, adverse events</t>
        </is>
      </c>
      <c r="C21" s="14" t="inlineStr">
        <is>
          <t>Journey_Events</t>
        </is>
      </c>
      <c r="D21" s="14" t="inlineStr">
        <is>
          <t>Repeating rows</t>
        </is>
      </c>
      <c r="E21" s="14" t="inlineStr">
        <is>
          <t>Creates the patient journey narrative and milestone trace</t>
        </is>
      </c>
      <c r="F21" s="14" t="inlineStr">
        <is>
          <t>Patient journey view, audits, summaries</t>
        </is>
      </c>
    </row>
    <row r="22" ht="28.5" customHeight="1">
      <c r="A22" s="14" t="inlineStr">
        <is>
          <t>Care-gap state</t>
        </is>
      </c>
      <c r="B22" s="14" t="inlineStr">
        <is>
          <t>Open gap flags, severity counts, highest severity, primary gap focus</t>
        </is>
      </c>
      <c r="C22" s="14" t="inlineStr">
        <is>
          <t>Care_Gap_Tracker</t>
        </is>
      </c>
      <c r="D22" s="14" t="inlineStr">
        <is>
          <t>Derived formulas</t>
        </is>
      </c>
      <c r="E22" s="14" t="inlineStr">
        <is>
          <t>Makes documentation actionable and measurable</t>
        </is>
      </c>
      <c r="F22" s="14" t="inlineStr">
        <is>
          <t>Home, dashboard, patient file</t>
        </is>
      </c>
    </row>
    <row r="23" ht="42.75" customHeight="1">
      <c r="A23" s="14" t="inlineStr">
        <is>
          <t>Documents and collaboration</t>
        </is>
      </c>
      <c r="B23" s="14" t="inlineStr">
        <is>
          <t>Rx uploads, discussion notes, notifications, guideline references</t>
        </is>
      </c>
      <c r="C23" s="14" t="inlineStr">
        <is>
          <t>Workflow surfaces around the patient file</t>
        </is>
      </c>
      <c r="D23" s="14" t="inlineStr">
        <is>
          <t>File workflow + modal actions</t>
        </is>
      </c>
      <c r="E23" s="14" t="inlineStr">
        <is>
          <t>Keeps the record clinically usable and team-aware even where data is not purely tabular</t>
        </is>
      </c>
      <c r="F23" s="14" t="inlineStr">
        <is>
          <t>Patient file and governance flow</t>
        </is>
      </c>
    </row>
  </sheetData>
  <mergeCells count="2">
    <mergeCell ref="A2:F2"/>
    <mergeCell ref="A1:F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2"/>
  <sheetViews>
    <sheetView showGridLines="0" workbookViewId="0">
      <selection activeCell="A1" sqref="A1:F1"/>
    </sheetView>
  </sheetViews>
  <sheetFormatPr baseColWidth="8" defaultColWidth="8.875" defaultRowHeight="14.25"/>
  <cols>
    <col width="22" customWidth="1" min="1" max="1"/>
    <col width="32" customWidth="1" min="2" max="2"/>
    <col width="30" customWidth="1" min="3" max="3"/>
    <col width="34" customWidth="1" min="4" max="5"/>
    <col width="24" customWidth="1" min="6" max="6"/>
  </cols>
  <sheetData>
    <row r="1" ht="15.75" customHeight="1">
      <c r="A1" s="12" t="inlineStr">
        <is>
          <t>Governed Intelligence</t>
        </is>
      </c>
    </row>
    <row r="2">
      <c r="A2" s="13" t="inlineStr">
        <is>
          <t>Explains how the rules engine, cohort insighting, and AI Buddy should operate. This is the product’s intelligence boundary: what is allowed, what grounds it, and what must never become hallucinated.</t>
        </is>
      </c>
    </row>
    <row r="4" ht="15" customHeight="1">
      <c r="A4" s="2" t="inlineStr">
        <is>
          <t>Capability</t>
        </is>
      </c>
      <c r="B4" s="2" t="inlineStr">
        <is>
          <t>What It Studies</t>
        </is>
      </c>
      <c r="C4" s="2" t="inlineStr">
        <is>
          <t>What It Returns</t>
        </is>
      </c>
      <c r="D4" s="2" t="inlineStr">
        <is>
          <t>Ground Truth / Brain</t>
        </is>
      </c>
      <c r="E4" s="2" t="inlineStr">
        <is>
          <t>What It Must Not Do</t>
        </is>
      </c>
      <c r="F4" s="2" t="inlineStr">
        <is>
          <t>Appears In</t>
        </is>
      </c>
    </row>
    <row r="5" ht="42.75" customHeight="1">
      <c r="A5" s="14" t="inlineStr">
        <is>
          <t>Care-gap engine</t>
        </is>
      </c>
      <c r="B5" s="14" t="inlineStr">
        <is>
          <t>Structured case data is checked against configured staging, treatment, follow-up, and supportive-care rules</t>
        </is>
      </c>
      <c r="C5" s="14" t="inlineStr">
        <is>
          <t>Severity-coded nudges, gap counts, primary gap focus</t>
        </is>
      </c>
      <c r="D5" s="14" t="inlineStr">
        <is>
          <t>Versioned clinical rule packs approved by the clinical team</t>
        </is>
      </c>
      <c r="E5" s="14" t="inlineStr">
        <is>
          <t>It must not invent a gap outside configured rules</t>
        </is>
      </c>
      <c r="F5" s="14" t="inlineStr">
        <is>
          <t>Patient File, Care_Gap_Tracker, Home, Quality dashboard</t>
        </is>
      </c>
    </row>
    <row r="6" ht="28.5" customHeight="1">
      <c r="A6" s="14" t="inlineStr">
        <is>
          <t>Protocol score</t>
        </is>
      </c>
      <c r="B6" s="14" t="inlineStr">
        <is>
          <t>Cohort adherence signals are rolled up across key rule families</t>
        </is>
      </c>
      <c r="C6" s="14" t="inlineStr">
        <is>
          <t>A cohort-level score and its biggest drag factors</t>
        </is>
      </c>
      <c r="D6" s="14" t="inlineStr">
        <is>
          <t>Rule-engine outputs plus benchmark configuration</t>
        </is>
      </c>
      <c r="E6" s="14" t="inlineStr">
        <is>
          <t>It must not present the score as unexplained magic</t>
        </is>
      </c>
      <c r="F6" s="14" t="inlineStr">
        <is>
          <t>Home, Population Dashboard</t>
        </is>
      </c>
    </row>
    <row r="7" ht="42.75" customHeight="1">
      <c r="A7" s="14" t="inlineStr">
        <is>
          <t>Insight cards</t>
        </is>
      </c>
      <c r="B7" s="14" t="inlineStr">
        <is>
          <t>Cohort aggregates such as bone-health coverage, ARSI uptake, staging completeness</t>
        </is>
      </c>
      <c r="C7" s="14" t="inlineStr">
        <is>
          <t>Short statistical insights in plain language</t>
        </is>
      </c>
      <c r="D7" s="14" t="inlineStr">
        <is>
          <t>Registry aggregates and measured cohort counts</t>
        </is>
      </c>
      <c r="E7" s="14" t="inlineStr">
        <is>
          <t>It must not generate unsupported narrative claims</t>
        </is>
      </c>
      <c r="F7" s="14" t="inlineStr">
        <is>
          <t>Home, Reports</t>
        </is>
      </c>
    </row>
    <row r="8" ht="42.75" customHeight="1">
      <c r="A8" s="14" t="inlineStr">
        <is>
          <t>AI Buddy · stepwise review</t>
        </is>
      </c>
      <c r="B8" s="14" t="inlineStr">
        <is>
          <t>Open case fields, current nudges, practice logs, retrospective outcome patterns, access rules</t>
        </is>
      </c>
      <c r="C8" s="14" t="inlineStr">
        <is>
          <t>A bounded, step-by-step pathway review with explicit next-path framing</t>
        </is>
      </c>
      <c r="D8" s="14" t="inlineStr">
        <is>
          <t>Governed evidence brain composed of structured records and approved evidence/config packs</t>
        </is>
      </c>
      <c r="E8" s="14" t="inlineStr">
        <is>
          <t>It must not behave like unconstrained chat or fabricate treatment branches</t>
        </is>
      </c>
      <c r="F8" s="14" t="inlineStr">
        <is>
          <t>Home, Patient File</t>
        </is>
      </c>
    </row>
    <row r="9" ht="42.75" customHeight="1">
      <c r="A9" s="14" t="inlineStr">
        <is>
          <t>AI Buddy · progression branch</t>
        </is>
      </c>
      <c r="B9" s="14" t="inlineStr">
        <is>
          <t>Current line exposure, response history, CRPC/progression status, biomarkers, tolerance markers</t>
        </is>
      </c>
      <c r="C9" s="14" t="inlineStr">
        <is>
          <t>A structured view of plausible next pathway branches for review</t>
        </is>
      </c>
      <c r="D9" s="14" t="inlineStr">
        <is>
          <t>Guideline packs + retrospective pathway rules + patient state</t>
        </is>
      </c>
      <c r="E9" s="14" t="inlineStr">
        <is>
          <t>It must not claim autonomous clinical decision-making</t>
        </is>
      </c>
      <c r="F9" s="14" t="inlineStr">
        <is>
          <t>Patient File, AI Buddy</t>
        </is>
      </c>
    </row>
    <row r="10" ht="42.75" customHeight="1">
      <c r="A10" s="14" t="inlineStr">
        <is>
          <t>AI Buddy · access and affordability lens</t>
        </is>
      </c>
      <c r="B10" s="14" t="inlineStr">
        <is>
          <t>Coverage, CGHS delays, local availability, configured access pathways</t>
        </is>
      </c>
      <c r="C10" s="14" t="inlineStr">
        <is>
          <t>Visible access route, delay risk, and documented fallback pathway</t>
        </is>
      </c>
      <c r="D10" s="14" t="inlineStr">
        <is>
          <t>Access-rule configuration and region-specific availability inputs</t>
        </is>
      </c>
      <c r="E10" s="14" t="inlineStr">
        <is>
          <t>It must not imply a drug is obtainable when the configured access layer says otherwise</t>
        </is>
      </c>
      <c r="F10" s="14" t="inlineStr">
        <is>
          <t>AI Buddy, Treatment planning</t>
        </is>
      </c>
    </row>
    <row r="11" ht="42.75" customHeight="1">
      <c r="A11" s="14" t="inlineStr">
        <is>
          <t>AI Buddy · trial and new-drug lens</t>
        </is>
      </c>
      <c r="B11" s="14" t="inlineStr">
        <is>
          <t>Trial eligibility fields, geography, disease state, configured study sources</t>
        </is>
      </c>
      <c r="C11" s="14" t="inlineStr">
        <is>
          <t>Trial-screening prompts and governed study-fit suggestions</t>
        </is>
      </c>
      <c r="D11" s="14" t="inlineStr">
        <is>
          <t>Configured study source feeds and eligibility logic</t>
        </is>
      </c>
      <c r="E11" s="14" t="inlineStr">
        <is>
          <t>It must not hallucinate trial availability or sponsor access</t>
        </is>
      </c>
      <c r="F11" s="14" t="inlineStr">
        <is>
          <t>AI Buddy</t>
        </is>
      </c>
    </row>
    <row r="12" ht="42.75" customHeight="1">
      <c r="A12" s="14" t="inlineStr">
        <is>
          <t>Brain boundary</t>
        </is>
      </c>
      <c r="B12" s="14" t="inlineStr">
        <is>
          <t>Only approved structured data and configured evidence sources are in scope</t>
        </is>
      </c>
      <c r="C12" s="14" t="inlineStr">
        <is>
          <t>High-confidence, explainable output</t>
        </is>
      </c>
      <c r="D12" s="14" t="inlineStr">
        <is>
          <t>Structured records, rule packs, guideline packs, practice logs, retrospective data, access pathways</t>
        </is>
      </c>
      <c r="E12" s="14" t="inlineStr">
        <is>
          <t>No free-text invention, no unsupported external facts, no hidden reasoning leaps</t>
        </is>
      </c>
      <c r="F12" s="14" t="inlineStr">
        <is>
          <t>Platform-wide governance principle</t>
        </is>
      </c>
    </row>
  </sheetData>
  <mergeCells count="2">
    <mergeCell ref="A2:F2"/>
    <mergeCell ref="A1:F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6"/>
  <sheetViews>
    <sheetView showGridLines="0" workbookViewId="0">
      <selection activeCell="A1" sqref="A1:F1"/>
    </sheetView>
  </sheetViews>
  <sheetFormatPr baseColWidth="8" defaultColWidth="8.875" defaultRowHeight="14.25"/>
  <cols>
    <col width="20" customWidth="1" min="1" max="1"/>
    <col width="110" customWidth="1" min="2" max="2"/>
    <col width="12" customWidth="1" min="3" max="6"/>
  </cols>
  <sheetData>
    <row r="1" ht="15.75" customHeight="1">
      <c r="A1" s="12" t="inlineStr">
        <is>
          <t>How To Use This Bible</t>
        </is>
      </c>
    </row>
    <row r="2">
      <c r="A2" s="13" t="inlineStr">
        <is>
          <t>This workbook is now a platform bible first and a structured data-entry pack second. The opening tabs explain what the product is, how it should feel, how screens connect, what workflows it supports, and what it captures. The later tabs translate that product into data-entry structure, care-gap logic, and analytics coverage.</t>
        </is>
      </c>
    </row>
    <row r="4" ht="60" customHeight="1">
      <c r="A4" s="2" t="inlineStr">
        <is>
          <t>Read order</t>
        </is>
      </c>
      <c r="B4" s="2" t="inlineStr">
        <is>
          <t>1. Start with Platform_Bible and Visual_Language to understand the intended experience. 2. Read Screen_Blueprint, Workflow_Blueprint, and Capture_Blueprint to understand how the product behaves. 3. Read Home_Dashboard, Population_Dashboard, Dashboard_Derived, Dashboard_Coverage, and Governed_Intelligence to understand analytics and intelligence. 4. Use the entry tabs only when you need to inspect how the UI converts into structured capture.</t>
        </is>
      </c>
    </row>
    <row r="5" ht="42.75" customHeight="1">
      <c r="A5" s="14" t="inlineStr">
        <is>
          <t>How to use the entry tabs</t>
        </is>
      </c>
      <c r="B5" s="14" t="inlineStr">
        <is>
          <t>Create one patient row in Demographics_Entry using the patient's unique patient code, then reuse the same code on Clinical_Entry, Treatment_Entry, Outcomes_Entry, PSA_History, and Journey_Events. Use dropdowns and Yes/No columns to mirror the UI controls. Review Dashboard and Care_Gap_Tracker for derived summaries.</t>
        </is>
      </c>
    </row>
    <row r="6" ht="28.5" customHeight="1">
      <c r="A6" s="14" t="inlineStr">
        <is>
          <t>Sample rows included</t>
        </is>
      </c>
      <c r="B6" s="14" t="inlineStr">
        <is>
          <t>Rows 5-8 in the entry tabs are seeded with fully de-identified sample cases so the workbook can be reviewed immediately without adding manual data first.</t>
        </is>
      </c>
    </row>
    <row r="7" ht="42.75" customHeight="1">
      <c r="A7" s="14" t="inlineStr">
        <is>
          <t>Sheets included</t>
        </is>
      </c>
      <c r="B7" s="14" t="inlineStr">
        <is>
          <t>Platform_Bible, Visual_Language, Screen_Blueprint, Workflow_Blueprint, Capture_Blueprint, Governed_Intelligence, Instructions, Field_Dictionary, Value_Lists, Dashboard, Home_Dashboard, Population_Dashboard, Dashboard_Derived, Dashboard_Coverage, Care_Gap_Tracker, Demographics_Entry, Clinical_Entry, Treatment_Entry, Outcomes_Entry, PSA_History, Journey_Events.</t>
        </is>
      </c>
    </row>
    <row r="8">
      <c r="A8" s="14" t="inlineStr">
        <is>
          <t>Input color</t>
        </is>
      </c>
      <c r="B8" s="14" t="inlineStr">
        <is>
          <t>Light yellow cells are intended for manual entry.</t>
        </is>
      </c>
    </row>
    <row r="9">
      <c r="A9" s="14" t="inlineStr">
        <is>
          <t>Derived color</t>
        </is>
      </c>
      <c r="B9" s="14" t="inlineStr">
        <is>
          <t>Light grey cells are calculated or should not be typed into directly.</t>
        </is>
      </c>
    </row>
    <row r="10" ht="28.5" customHeight="1">
      <c r="A10" s="14" t="inlineStr">
        <is>
          <t>Required fields</t>
        </is>
      </c>
      <c r="B10" s="14" t="inlineStr">
        <is>
          <t>Headers marked with * should be treated as mandatory for workbook use. Field_Dictionary also shows whether a field is required in the UI versus required in the workbook.</t>
        </is>
      </c>
    </row>
    <row r="11" ht="28.5" customHeight="1">
      <c r="A11" s="14" t="inlineStr">
        <is>
          <t>Multi-select chip groups</t>
        </is>
      </c>
      <c r="B11" s="14" t="inlineStr">
        <is>
          <t>In Excel, multi-select chip groups are represented as one Yes/No column per chip option.</t>
        </is>
      </c>
    </row>
    <row r="12">
      <c r="A12" s="14" t="inlineStr">
        <is>
          <t>Date format</t>
        </is>
      </c>
      <c r="B12" s="14" t="inlineStr">
        <is>
          <t>Use yyyy-mm-dd across all date columns.</t>
        </is>
      </c>
    </row>
    <row r="13" ht="28.5" customHeight="1">
      <c r="A13" s="14" t="inlineStr">
        <is>
          <t>Care gaps</t>
        </is>
      </c>
      <c r="B13" s="14" t="inlineStr">
        <is>
          <t>Care_Gap_Tracker applies the current nudge-style rules for staging, bone protection, DEXA, genetics, ARSI readiness, and follow-up. Psychosocial screening is treated as open when PHQ-9 is blank or Not done so the tracker stays actionable.</t>
        </is>
      </c>
    </row>
    <row r="14" ht="28.5" customHeight="1">
      <c r="A14" s="14" t="inlineStr">
        <is>
          <t>Dashboard scope</t>
        </is>
      </c>
      <c r="B14" s="14" t="inlineStr">
        <is>
          <t>The product dashboard is larger than a simple KPI tab. The dedicated dashboard inventory tabs document home widgets, population analytics sections, derived cohort fields, drilldowns, and the remaining gaps that require application event history.</t>
        </is>
      </c>
    </row>
    <row r="15" ht="28.5" customHeight="1">
      <c r="A15" s="14" t="inlineStr">
        <is>
          <t>Intelligence boundary</t>
        </is>
      </c>
      <c r="B15" s="14" t="inlineStr">
        <is>
          <t>Governed_Intelligence explains the approved intelligence surfaces. AI Buddy is described as a bounded evidence layer rather than unconstrained generation.</t>
        </is>
      </c>
    </row>
    <row r="16" ht="28.5" customHeight="1">
      <c r="A16" s="14" t="inlineStr">
        <is>
          <t>File uploads</t>
        </is>
      </c>
      <c r="B16" s="14" t="inlineStr">
        <is>
          <t>Prescription / Rx upload is documented in Field_Dictionary but is not represented as a row-entry table because the UI uses a file attachment workflow.</t>
        </is>
      </c>
    </row>
  </sheetData>
  <mergeCells count="2">
    <mergeCell ref="A2:F2"/>
    <mergeCell ref="A1:F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180"/>
  <sheetViews>
    <sheetView showGridLines="0" tabSelected="1" zoomScale="80" zoomScaleNormal="80" workbookViewId="0">
      <selection activeCell="B8" sqref="B8"/>
    </sheetView>
  </sheetViews>
  <sheetFormatPr baseColWidth="8" defaultColWidth="8.875" defaultRowHeight="14.25"/>
  <cols>
    <col width="20" customWidth="1" min="1" max="1"/>
    <col width="28" customWidth="1" min="2" max="2"/>
    <col width="20" customWidth="1" min="3" max="3"/>
    <col width="32" customWidth="1" min="4" max="4"/>
    <col width="22" customWidth="1" min="5" max="6"/>
    <col width="16" customWidth="1" min="7" max="7"/>
    <col width="10" customWidth="1" min="8" max="8"/>
    <col width="14" customWidth="1" min="9" max="9"/>
    <col width="55" customWidth="1" min="10" max="10"/>
    <col width="45" customWidth="1" min="11" max="11"/>
  </cols>
  <sheetData>
    <row r="1" ht="15.75" customHeight="1">
      <c r="A1" s="12" t="inlineStr">
        <is>
          <t>Field Dictionary</t>
        </is>
      </c>
    </row>
    <row r="2">
      <c r="A2" s="13" t="inlineStr">
        <is>
          <t>Each row maps one UI field (or one workbook representation of a UI field) to its entry mode, control type, options, and notes.</t>
        </is>
      </c>
    </row>
    <row r="3"/>
    <row r="4" ht="30" customHeight="1">
      <c r="A4" s="2" t="inlineStr">
        <is>
          <t>Sheet</t>
        </is>
      </c>
      <c r="B4" s="2" t="inlineStr">
        <is>
          <t>UI Section</t>
        </is>
      </c>
      <c r="C4" s="2" t="inlineStr">
        <is>
          <t>Field Key</t>
        </is>
      </c>
      <c r="D4" s="2" t="inlineStr">
        <is>
          <t>Field Label</t>
        </is>
      </c>
      <c r="E4" s="2" t="inlineStr">
        <is>
          <t>UI Control</t>
        </is>
      </c>
      <c r="F4" s="2" t="inlineStr">
        <is>
          <t>Workbook Entry Mode</t>
        </is>
      </c>
      <c r="G4" s="2" t="inlineStr">
        <is>
          <t>Data Type</t>
        </is>
      </c>
      <c r="H4" s="2" t="inlineStr">
        <is>
          <t>UI Required</t>
        </is>
      </c>
      <c r="I4" s="2" t="inlineStr">
        <is>
          <t>Workbook Required</t>
        </is>
      </c>
      <c r="J4" s="2" t="inlineStr">
        <is>
          <t>Allowed Options / List</t>
        </is>
      </c>
      <c r="K4" s="2" t="inlineStr">
        <is>
          <t>Source ID / Notes</t>
        </is>
      </c>
      <c r="L4" s="19" t="inlineStr">
        <is>
          <t>Status</t>
        </is>
      </c>
    </row>
    <row r="5" ht="28.5" customHeight="1">
      <c r="A5" s="14" t="inlineStr">
        <is>
          <t>Demographics_Entry</t>
        </is>
      </c>
      <c r="B5" s="14" t="inlineStr">
        <is>
          <t>Registry Linkage</t>
        </is>
      </c>
      <c r="C5" s="14" t="inlineStr">
        <is>
          <t>patient_code</t>
        </is>
      </c>
      <c r="D5" s="14" t="inlineStr">
        <is>
          <t>Unique Patient Code</t>
        </is>
      </c>
      <c r="E5" s="14" t="inlineStr">
        <is>
          <t>text</t>
        </is>
      </c>
      <c r="F5" s="14" t="inlineStr">
        <is>
          <t>Single column</t>
        </is>
      </c>
      <c r="G5" s="14" t="inlineStr">
        <is>
          <t>text</t>
        </is>
      </c>
      <c r="H5" s="14" t="inlineStr">
        <is>
          <t>No</t>
        </is>
      </c>
      <c r="I5" s="14" t="inlineStr">
        <is>
          <t>Yes</t>
        </is>
      </c>
      <c r="J5" s="14" t="n"/>
      <c r="K5" s="14" t="inlineStr">
        <is>
          <t>Only patient-level identifier permitted in this workbook. Reuse the same code across all sheets.</t>
        </is>
      </c>
      <c r="L5" t="inlineStr">
        <is>
          <t>Existing (v2)</t>
        </is>
      </c>
    </row>
    <row r="6" ht="28.5" customHeight="1">
      <c r="A6" s="14" t="inlineStr">
        <is>
          <t>Demographics_Entry</t>
        </is>
      </c>
      <c r="B6" s="14" t="inlineStr">
        <is>
          <t>Registry Linkage</t>
        </is>
      </c>
      <c r="C6" s="14" t="inlineStr">
        <is>
          <t>registry_enrolment_date</t>
        </is>
      </c>
      <c r="D6" s="14" t="inlineStr">
        <is>
          <t>Registry Enrolment Date</t>
        </is>
      </c>
      <c r="E6" s="14" t="inlineStr">
        <is>
          <t>date</t>
        </is>
      </c>
      <c r="F6" s="14" t="inlineStr">
        <is>
          <t>Single column</t>
        </is>
      </c>
      <c r="G6" s="14" t="inlineStr">
        <is>
          <t>date</t>
        </is>
      </c>
      <c r="H6" s="14" t="inlineStr">
        <is>
          <t>No</t>
        </is>
      </c>
      <c r="I6" s="14" t="inlineStr">
        <is>
          <t>No</t>
        </is>
      </c>
      <c r="J6" s="14" t="inlineStr">
        <is>
          <t>yyyy-mm-dd</t>
        </is>
      </c>
      <c r="K6" s="14" t="inlineStr">
        <is>
          <t>Needed for monthly registration trends on the home and population dashboards.</t>
        </is>
      </c>
      <c r="L6" t="inlineStr">
        <is>
          <t>Existing (v2)</t>
        </is>
      </c>
    </row>
    <row r="7" ht="28.5" customHeight="1">
      <c r="A7" s="14" t="inlineStr">
        <is>
          <t>Demographics_Entry</t>
        </is>
      </c>
      <c r="B7" s="14" t="inlineStr">
        <is>
          <t>De-identified Demographics</t>
        </is>
      </c>
      <c r="C7" s="14" t="inlineStr">
        <is>
          <t>age_at_diagnosis_years</t>
        </is>
      </c>
      <c r="D7" s="14" t="inlineStr">
        <is>
          <t>Age at Diagnosis (years)</t>
        </is>
      </c>
      <c r="E7" s="14" t="inlineStr">
        <is>
          <t>number</t>
        </is>
      </c>
      <c r="F7" s="14" t="inlineStr">
        <is>
          <t>Single column</t>
        </is>
      </c>
      <c r="G7" s="14" t="inlineStr">
        <is>
          <t>whole number</t>
        </is>
      </c>
      <c r="H7" s="14" t="inlineStr">
        <is>
          <t>No</t>
        </is>
      </c>
      <c r="I7" s="14" t="inlineStr">
        <is>
          <t>Yes</t>
        </is>
      </c>
      <c r="J7" s="14" t="inlineStr">
        <is>
          <t>Years</t>
        </is>
      </c>
      <c r="K7" s="14" t="inlineStr">
        <is>
          <t>Enter numeric age at diagnosis. Do not capture date of birth.</t>
        </is>
      </c>
      <c r="L7" t="inlineStr">
        <is>
          <t>Existing (v2)</t>
        </is>
      </c>
    </row>
    <row r="8" ht="28.5" customHeight="1">
      <c r="A8" s="14" t="inlineStr">
        <is>
          <t>Demographics_Entry</t>
        </is>
      </c>
      <c r="B8" s="14" t="inlineStr">
        <is>
          <t>De-identified Demographics</t>
        </is>
      </c>
      <c r="C8" s="14" t="inlineStr">
        <is>
          <t>language_preference</t>
        </is>
      </c>
      <c r="D8" s="14" t="inlineStr">
        <is>
          <t>Language Preference</t>
        </is>
      </c>
      <c r="E8" s="14" t="inlineStr">
        <is>
          <t>dropdown</t>
        </is>
      </c>
      <c r="F8" s="14" t="inlineStr">
        <is>
          <t>Single column</t>
        </is>
      </c>
      <c r="G8" s="14" t="inlineStr">
        <is>
          <t>categorical</t>
        </is>
      </c>
      <c r="H8" s="14" t="inlineStr">
        <is>
          <t>No</t>
        </is>
      </c>
      <c r="I8" s="14" t="inlineStr">
        <is>
          <t>No</t>
        </is>
      </c>
      <c r="J8" s="14" t="inlineStr">
        <is>
          <t>Hindi | English | Tamil | Telugu | Bengali | Marathi | Kannada | Malayalam | Gujarati | Punjabi | Odia</t>
        </is>
      </c>
      <c r="K8" s="14" t="n"/>
      <c r="L8" t="inlineStr">
        <is>
          <t>Existing (v2)</t>
        </is>
      </c>
    </row>
    <row r="9" ht="28.5" customHeight="1">
      <c r="A9" s="14" t="inlineStr">
        <is>
          <t>Demographics_Entry</t>
        </is>
      </c>
      <c r="B9" s="14" t="inlineStr">
        <is>
          <t>Coverage &amp; Access</t>
        </is>
      </c>
      <c r="C9" s="14" t="inlineStr">
        <is>
          <t>healthcare_coverage</t>
        </is>
      </c>
      <c r="D9" s="14" t="inlineStr">
        <is>
          <t>Healthcare Coverage</t>
        </is>
      </c>
      <c r="E9" s="14" t="inlineStr">
        <is>
          <t>dropdown</t>
        </is>
      </c>
      <c r="F9" s="14" t="inlineStr">
        <is>
          <t>Single column</t>
        </is>
      </c>
      <c r="G9" s="14" t="inlineStr">
        <is>
          <t>categorical</t>
        </is>
      </c>
      <c r="H9" s="14" t="inlineStr">
        <is>
          <t>Yes</t>
        </is>
      </c>
      <c r="I9" s="14" t="inlineStr">
        <is>
          <t>Yes</t>
        </is>
      </c>
      <c r="J9" s="14" t="inlineStr">
        <is>
          <t>PMJAY (Ayushman Bharat) | CGHS | ESIC | State Scheme (Rajya Bima / Aarogyasri) | Private Insurance | Self-pay</t>
        </is>
      </c>
      <c r="K9" s="14" t="n"/>
      <c r="L9" t="inlineStr">
        <is>
          <t>Existing (v2)</t>
        </is>
      </c>
    </row>
    <row r="10" ht="42.75" customHeight="1">
      <c r="A10" s="14" t="inlineStr">
        <is>
          <t>Demographics_Entry</t>
        </is>
      </c>
      <c r="B10" s="14" t="inlineStr">
        <is>
          <t>Coverage &amp; Access</t>
        </is>
      </c>
      <c r="C10" s="14" t="inlineStr">
        <is>
          <t>referring_hospital_centre</t>
        </is>
      </c>
      <c r="D10" s="14" t="inlineStr">
        <is>
          <t>Referring Hospital / Centre</t>
        </is>
      </c>
      <c r="E10" s="14" t="inlineStr">
        <is>
          <t>dropdown</t>
        </is>
      </c>
      <c r="F10" s="14" t="inlineStr">
        <is>
          <t>Single column</t>
        </is>
      </c>
      <c r="G10" s="14" t="inlineStr">
        <is>
          <t>categorical</t>
        </is>
      </c>
      <c r="H10" s="14" t="inlineStr">
        <is>
          <t>No</t>
        </is>
      </c>
      <c r="I10" s="14" t="inlineStr">
        <is>
          <t>No</t>
        </is>
      </c>
      <c r="J10" s="14" t="inlineStr">
        <is>
          <t>AIIMS New Delhi | Tata Memorial Centre, Mumbai | CMC Vellore | PGIMER Chandigarh | RGCI Delhi | SGPGI Lucknow | Government General Hospital | Private Urologist / Clinic</t>
        </is>
      </c>
      <c r="K10" s="14" t="n"/>
      <c r="L10" t="inlineStr">
        <is>
          <t>Existing (v2)</t>
        </is>
      </c>
    </row>
    <row r="11" ht="28.5" customHeight="1">
      <c r="A11" s="14" t="inlineStr">
        <is>
          <t>Demographics_Entry</t>
        </is>
      </c>
      <c r="B11" s="14" t="inlineStr">
        <is>
          <t>Coverage &amp; Access</t>
        </is>
      </c>
      <c r="C11" s="14" t="inlineStr">
        <is>
          <t>referral_source</t>
        </is>
      </c>
      <c r="D11" s="14" t="inlineStr">
        <is>
          <t>Referral Source</t>
        </is>
      </c>
      <c r="E11" s="14" t="inlineStr">
        <is>
          <t>dropdown</t>
        </is>
      </c>
      <c r="F11" s="14" t="inlineStr">
        <is>
          <t>Single column</t>
        </is>
      </c>
      <c r="G11" s="14" t="inlineStr">
        <is>
          <t>categorical</t>
        </is>
      </c>
      <c r="H11" s="14" t="inlineStr">
        <is>
          <t>No</t>
        </is>
      </c>
      <c r="I11" s="14" t="inlineStr">
        <is>
          <t>No</t>
        </is>
      </c>
      <c r="J11" s="14" t="inlineStr">
        <is>
          <t>Government Hospital / OPD | Private Urologist | CGHS Panel Hospital | District Cancer Centre | Self-referral | Other</t>
        </is>
      </c>
      <c r="K11" s="14" t="inlineStr">
        <is>
          <t>Normalized for dashboard referral-source donut.</t>
        </is>
      </c>
      <c r="L11" t="inlineStr">
        <is>
          <t>Existing (v2)</t>
        </is>
      </c>
    </row>
    <row r="12" ht="42.75" customHeight="1">
      <c r="A12" s="14" t="inlineStr">
        <is>
          <t>Demographics_Entry</t>
        </is>
      </c>
      <c r="B12" s="14" t="inlineStr">
        <is>
          <t>Geography &amp; Access</t>
        </is>
      </c>
      <c r="C12" s="14" t="inlineStr">
        <is>
          <t>state</t>
        </is>
      </c>
      <c r="D12" s="14" t="inlineStr">
        <is>
          <t>State</t>
        </is>
      </c>
      <c r="E12" s="14" t="inlineStr">
        <is>
          <t>dropdown</t>
        </is>
      </c>
      <c r="F12" s="14" t="inlineStr">
        <is>
          <t>Single column</t>
        </is>
      </c>
      <c r="G12" s="14" t="inlineStr">
        <is>
          <t>categorical</t>
        </is>
      </c>
      <c r="H12" s="14" t="inlineStr">
        <is>
          <t>No</t>
        </is>
      </c>
      <c r="I12" s="14" t="inlineStr">
        <is>
          <t>No</t>
        </is>
      </c>
      <c r="J12" s="14" t="inlineStr">
        <is>
          <t>Delhi | Maharashtra | Tamil Nadu | Uttar Pradesh | Karnataka | West Bengal | Rajasthan | Punjab | Gujarat | Telangana | Andhra Pradesh | Madhya Pradesh | Bihar | Other</t>
        </is>
      </c>
      <c r="K12" s="14" t="n"/>
      <c r="L12" t="inlineStr">
        <is>
          <t>Existing (v2)</t>
        </is>
      </c>
    </row>
    <row r="13">
      <c r="A13" s="14" t="inlineStr">
        <is>
          <t>Demographics_Entry</t>
        </is>
      </c>
      <c r="B13" s="14" t="inlineStr">
        <is>
          <t>Geography &amp; Access</t>
        </is>
      </c>
      <c r="C13" s="14" t="inlineStr">
        <is>
          <t>travel_distance_km</t>
        </is>
      </c>
      <c r="D13" s="14" t="inlineStr">
        <is>
          <t>Travel Distance to Centre (km)</t>
        </is>
      </c>
      <c r="E13" s="14" t="inlineStr">
        <is>
          <t>number</t>
        </is>
      </c>
      <c r="F13" s="14" t="inlineStr">
        <is>
          <t>Single column</t>
        </is>
      </c>
      <c r="G13" s="14" t="inlineStr">
        <is>
          <t>decimal number</t>
        </is>
      </c>
      <c r="H13" s="14" t="inlineStr">
        <is>
          <t>No</t>
        </is>
      </c>
      <c r="I13" s="14" t="inlineStr">
        <is>
          <t>No</t>
        </is>
      </c>
      <c r="J13" s="14" t="inlineStr">
        <is>
          <t>Kilometres</t>
        </is>
      </c>
      <c r="K13" s="14" t="inlineStr">
        <is>
          <t>Used for travel-distance chart buckets.</t>
        </is>
      </c>
      <c r="L13" t="inlineStr">
        <is>
          <t>Existing (v2)</t>
        </is>
      </c>
    </row>
    <row r="14">
      <c r="A14" s="14" t="inlineStr">
        <is>
          <t>Clinical_Entry</t>
        </is>
      </c>
      <c r="B14" s="14" t="inlineStr">
        <is>
          <t>Workbook Linkage</t>
        </is>
      </c>
      <c r="C14" s="14" t="inlineStr">
        <is>
          <t>patient_code</t>
        </is>
      </c>
      <c r="D14" s="14" t="inlineStr">
        <is>
          <t>Unique Patient Code</t>
        </is>
      </c>
      <c r="E14" s="14" t="inlineStr">
        <is>
          <t>text</t>
        </is>
      </c>
      <c r="F14" s="14" t="inlineStr">
        <is>
          <t>Single column</t>
        </is>
      </c>
      <c r="G14" s="14" t="inlineStr">
        <is>
          <t>text</t>
        </is>
      </c>
      <c r="H14" s="14" t="inlineStr">
        <is>
          <t>No</t>
        </is>
      </c>
      <c r="I14" s="14" t="inlineStr">
        <is>
          <t>Yes</t>
        </is>
      </c>
      <c r="J14" s="14" t="n"/>
      <c r="K14" s="14" t="inlineStr">
        <is>
          <t>Match the Demographics_Entry unique patient code.</t>
        </is>
      </c>
      <c r="L14" t="inlineStr">
        <is>
          <t>Existing (v2)</t>
        </is>
      </c>
    </row>
    <row r="15" ht="28.5" customHeight="1">
      <c r="A15" s="14" t="inlineStr">
        <is>
          <t>Clinical_Entry</t>
        </is>
      </c>
      <c r="B15" s="14" t="inlineStr">
        <is>
          <t>Presenting Complaint</t>
        </is>
      </c>
      <c r="C15" s="14" t="inlineStr">
        <is>
          <t>diagnosis_date</t>
        </is>
      </c>
      <c r="D15" s="14" t="inlineStr">
        <is>
          <t>Date of Diagnosis</t>
        </is>
      </c>
      <c r="E15" s="14" t="inlineStr">
        <is>
          <t>date</t>
        </is>
      </c>
      <c r="F15" s="14" t="inlineStr">
        <is>
          <t>Single column</t>
        </is>
      </c>
      <c r="G15" s="14" t="inlineStr">
        <is>
          <t>date</t>
        </is>
      </c>
      <c r="H15" s="14" t="inlineStr">
        <is>
          <t>No</t>
        </is>
      </c>
      <c r="I15" s="14" t="inlineStr">
        <is>
          <t>No</t>
        </is>
      </c>
      <c r="J15" s="14" t="inlineStr">
        <is>
          <t>yyyy-mm-dd</t>
        </is>
      </c>
      <c r="K15" s="14" t="inlineStr">
        <is>
          <t>Needed for age-at-diagnosis and time-to-treatment analytics.</t>
        </is>
      </c>
      <c r="L15" t="inlineStr">
        <is>
          <t>Existing (v2)</t>
        </is>
      </c>
    </row>
    <row r="16" ht="42.75" customHeight="1">
      <c r="A16" s="14" t="inlineStr">
        <is>
          <t>Clinical_Entry</t>
        </is>
      </c>
      <c r="B16" s="14" t="inlineStr">
        <is>
          <t>Presenting Complaint</t>
        </is>
      </c>
      <c r="C16" s="14" t="inlineStr">
        <is>
          <t>primary_complaint</t>
        </is>
      </c>
      <c r="D16" s="14" t="inlineStr">
        <is>
          <t>Primary Complaint</t>
        </is>
      </c>
      <c r="E16" s="14" t="inlineStr">
        <is>
          <t>dropdown</t>
        </is>
      </c>
      <c r="F16" s="14" t="inlineStr">
        <is>
          <t>Single column</t>
        </is>
      </c>
      <c r="G16" s="14" t="inlineStr">
        <is>
          <t>categorical</t>
        </is>
      </c>
      <c r="H16" s="14" t="inlineStr">
        <is>
          <t>No</t>
        </is>
      </c>
      <c r="I16" s="14" t="inlineStr">
        <is>
          <t>No</t>
        </is>
      </c>
      <c r="J16" s="14" t="inlineStr">
        <is>
          <t>LUTS (Lower urinary tract symptoms) | Haematuria | Bone pain / backache | Incidental PSA elevation | Asymptomatic screening | Urinary retention</t>
        </is>
      </c>
      <c r="K16" s="14" t="n"/>
      <c r="L16" t="inlineStr">
        <is>
          <t>Existing (v2)</t>
        </is>
      </c>
    </row>
    <row r="17">
      <c r="A17" s="14" t="inlineStr">
        <is>
          <t>Clinical_Entry</t>
        </is>
      </c>
      <c r="B17" s="14" t="inlineStr">
        <is>
          <t>Presenting Complaint</t>
        </is>
      </c>
      <c r="C17" s="14" t="inlineStr">
        <is>
          <t>duration</t>
        </is>
      </c>
      <c r="D17" s="14" t="inlineStr">
        <is>
          <t>Duration</t>
        </is>
      </c>
      <c r="E17" s="14" t="inlineStr">
        <is>
          <t>text</t>
        </is>
      </c>
      <c r="F17" s="14" t="inlineStr">
        <is>
          <t>Single column</t>
        </is>
      </c>
      <c r="G17" s="14" t="inlineStr">
        <is>
          <t>text</t>
        </is>
      </c>
      <c r="H17" s="14" t="inlineStr">
        <is>
          <t>No</t>
        </is>
      </c>
      <c r="I17" s="14" t="inlineStr">
        <is>
          <t>No</t>
        </is>
      </c>
      <c r="J17" s="14" t="n"/>
      <c r="K17" s="14" t="n"/>
      <c r="L17" t="inlineStr">
        <is>
          <t>Existing (v2)</t>
        </is>
      </c>
    </row>
    <row r="18">
      <c r="A18" s="14" t="inlineStr">
        <is>
          <t>Clinical_Entry</t>
        </is>
      </c>
      <c r="B18" s="14" t="inlineStr">
        <is>
          <t>Presenting Complaint</t>
        </is>
      </c>
      <c r="C18" s="14" t="inlineStr">
        <is>
          <t>ipss_score</t>
        </is>
      </c>
      <c r="D18" s="14" t="inlineStr">
        <is>
          <t>IPSS Score</t>
        </is>
      </c>
      <c r="E18" s="14" t="inlineStr">
        <is>
          <t>dropdown</t>
        </is>
      </c>
      <c r="F18" s="14" t="inlineStr">
        <is>
          <t>Single column</t>
        </is>
      </c>
      <c r="G18" s="14" t="inlineStr">
        <is>
          <t>categorical</t>
        </is>
      </c>
      <c r="H18" s="14" t="inlineStr">
        <is>
          <t>No</t>
        </is>
      </c>
      <c r="I18" s="14" t="inlineStr">
        <is>
          <t>No</t>
        </is>
      </c>
      <c r="J18" s="14" t="inlineStr">
        <is>
          <t>0–7 (Mild) | 8–19 (Moderate) | 20–35 (Severe)</t>
        </is>
      </c>
      <c r="K18" s="14" t="n"/>
      <c r="L18" t="inlineStr">
        <is>
          <t>Existing (v2)</t>
        </is>
      </c>
    </row>
    <row r="19" ht="28.5" customHeight="1">
      <c r="A19" s="14" t="inlineStr">
        <is>
          <t>Clinical_Entry</t>
        </is>
      </c>
      <c r="B19" s="14" t="inlineStr">
        <is>
          <t>Presenting Complaint</t>
        </is>
      </c>
      <c r="C19" s="14" t="inlineStr">
        <is>
          <t>bowel_rectal_symptoms</t>
        </is>
      </c>
      <c r="D19" s="14" t="inlineStr">
        <is>
          <t>Bowel / Rectal Symptoms</t>
        </is>
      </c>
      <c r="E19" s="14" t="inlineStr">
        <is>
          <t>dropdown</t>
        </is>
      </c>
      <c r="F19" s="14" t="inlineStr">
        <is>
          <t>Single column</t>
        </is>
      </c>
      <c r="G19" s="14" t="inlineStr">
        <is>
          <t>categorical</t>
        </is>
      </c>
      <c r="H19" s="14" t="inlineStr">
        <is>
          <t>No</t>
        </is>
      </c>
      <c r="I19" s="14" t="inlineStr">
        <is>
          <t>No</t>
        </is>
      </c>
      <c r="J19" s="14" t="inlineStr">
        <is>
          <t>None | Constipation | Blood in stool | Tenesmus</t>
        </is>
      </c>
      <c r="K19" s="14" t="n"/>
      <c r="L19" t="inlineStr">
        <is>
          <t>Existing (v2)</t>
        </is>
      </c>
    </row>
    <row r="20" ht="28.5" customHeight="1">
      <c r="A20" s="14" t="inlineStr">
        <is>
          <t>Clinical_Entry</t>
        </is>
      </c>
      <c r="B20" s="14" t="inlineStr">
        <is>
          <t>Digital Rectal Examination (DRE)</t>
        </is>
      </c>
      <c r="C20" s="14" t="inlineStr">
        <is>
          <t>dre_findings</t>
        </is>
      </c>
      <c r="D20" s="14" t="inlineStr">
        <is>
          <t>DRE Findings</t>
        </is>
      </c>
      <c r="E20" s="14" t="inlineStr">
        <is>
          <t>single-select chip group</t>
        </is>
      </c>
      <c r="F20" s="14" t="inlineStr">
        <is>
          <t>Dropdown</t>
        </is>
      </c>
      <c r="G20" s="14" t="inlineStr">
        <is>
          <t>categorical</t>
        </is>
      </c>
      <c r="H20" s="14" t="inlineStr">
        <is>
          <t>Yes</t>
        </is>
      </c>
      <c r="I20" s="14" t="inlineStr">
        <is>
          <t>No</t>
        </is>
      </c>
      <c r="J20" s="14" t="inlineStr">
        <is>
          <t>Normal | Enlarged (BPH) | Nodule – unilateral | Nodule – bilateral | Induration / fixity | Seminal vesicle ext.</t>
        </is>
      </c>
      <c r="K20" s="14" t="n"/>
      <c r="L20" t="inlineStr">
        <is>
          <t>Existing (v2)</t>
        </is>
      </c>
    </row>
    <row r="21" ht="28.5" customHeight="1">
      <c r="A21" s="14" t="inlineStr">
        <is>
          <t>Clinical_Entry</t>
        </is>
      </c>
      <c r="B21" s="14" t="inlineStr">
        <is>
          <t>Digital Rectal Examination (DRE)</t>
        </is>
      </c>
      <c r="C21" s="14" t="inlineStr">
        <is>
          <t>prostate_volume_cc</t>
        </is>
      </c>
      <c r="D21" s="14" t="inlineStr">
        <is>
          <t>Prostate Volume (TRUS / MRI cc)</t>
        </is>
      </c>
      <c r="E21" s="14" t="inlineStr">
        <is>
          <t>text</t>
        </is>
      </c>
      <c r="F21" s="14" t="inlineStr">
        <is>
          <t>Single column</t>
        </is>
      </c>
      <c r="G21" s="14" t="inlineStr">
        <is>
          <t>decimal number</t>
        </is>
      </c>
      <c r="H21" s="14" t="inlineStr">
        <is>
          <t>No</t>
        </is>
      </c>
      <c r="I21" s="14" t="inlineStr">
        <is>
          <t>No</t>
        </is>
      </c>
      <c r="J21" s="14" t="inlineStr">
        <is>
          <t>cc</t>
        </is>
      </c>
      <c r="K21" s="14" t="inlineStr">
        <is>
          <t>Workbook expects numeric cc value.</t>
        </is>
      </c>
      <c r="L21" t="inlineStr">
        <is>
          <t>Existing (v2)</t>
        </is>
      </c>
    </row>
    <row r="22">
      <c r="A22" s="14" t="inlineStr">
        <is>
          <t>Clinical_Entry</t>
        </is>
      </c>
      <c r="B22" s="14" t="inlineStr">
        <is>
          <t>Biopsy Details</t>
        </is>
      </c>
      <c r="C22" s="14" t="inlineStr">
        <is>
          <t>biopsy_date</t>
        </is>
      </c>
      <c r="D22" s="14" t="inlineStr">
        <is>
          <t>Biopsy Date</t>
        </is>
      </c>
      <c r="E22" s="14" t="inlineStr">
        <is>
          <t>date</t>
        </is>
      </c>
      <c r="F22" s="14" t="inlineStr">
        <is>
          <t>Single column</t>
        </is>
      </c>
      <c r="G22" s="14" t="inlineStr">
        <is>
          <t>date</t>
        </is>
      </c>
      <c r="H22" s="14" t="inlineStr">
        <is>
          <t>No</t>
        </is>
      </c>
      <c r="I22" s="14" t="inlineStr">
        <is>
          <t>No</t>
        </is>
      </c>
      <c r="J22" s="14" t="inlineStr">
        <is>
          <t>yyyy-mm-dd</t>
        </is>
      </c>
      <c r="K22" s="14" t="n"/>
      <c r="L22" t="inlineStr">
        <is>
          <t>Existing (v2)</t>
        </is>
      </c>
    </row>
    <row r="23" ht="28.5" customHeight="1">
      <c r="A23" s="14" t="inlineStr">
        <is>
          <t>Clinical_Entry</t>
        </is>
      </c>
      <c r="B23" s="14" t="inlineStr">
        <is>
          <t>Biopsy Details</t>
        </is>
      </c>
      <c r="C23" s="14" t="inlineStr">
        <is>
          <t>biopsy_type</t>
        </is>
      </c>
      <c r="D23" s="14" t="inlineStr">
        <is>
          <t>Biopsy Type</t>
        </is>
      </c>
      <c r="E23" s="14" t="inlineStr">
        <is>
          <t>dropdown</t>
        </is>
      </c>
      <c r="F23" s="14" t="inlineStr">
        <is>
          <t>Single column</t>
        </is>
      </c>
      <c r="G23" s="14" t="inlineStr">
        <is>
          <t>categorical</t>
        </is>
      </c>
      <c r="H23" s="14" t="inlineStr">
        <is>
          <t>No</t>
        </is>
      </c>
      <c r="I23" s="14" t="inlineStr">
        <is>
          <t>No</t>
        </is>
      </c>
      <c r="J23" s="14" t="inlineStr">
        <is>
          <t>12-core TRUS biopsy | MRI-targeted / Fusion biopsy | Cognitive targeted | Transperineal biopsy | TURP chips</t>
        </is>
      </c>
      <c r="K23" s="14" t="n"/>
      <c r="L23" t="inlineStr">
        <is>
          <t>Existing (v2)</t>
        </is>
      </c>
    </row>
    <row r="24" ht="28.5" customHeight="1">
      <c r="A24" s="14" t="inlineStr">
        <is>
          <t>Clinical_Entry</t>
        </is>
      </c>
      <c r="B24" s="14" t="inlineStr">
        <is>
          <t>Biopsy Details</t>
        </is>
      </c>
      <c r="C24" s="14" t="inlineStr">
        <is>
          <t>pi_rads_score</t>
        </is>
      </c>
      <c r="D24" s="14" t="inlineStr">
        <is>
          <t>PI-RADS Score (mpMRI)</t>
        </is>
      </c>
      <c r="E24" s="14" t="inlineStr">
        <is>
          <t>dropdown</t>
        </is>
      </c>
      <c r="F24" s="14" t="inlineStr">
        <is>
          <t>Single column</t>
        </is>
      </c>
      <c r="G24" s="14" t="inlineStr">
        <is>
          <t>categorical</t>
        </is>
      </c>
      <c r="H24" s="14" t="inlineStr">
        <is>
          <t>No</t>
        </is>
      </c>
      <c r="I24" s="14" t="inlineStr">
        <is>
          <t>No</t>
        </is>
      </c>
      <c r="J24" s="14" t="inlineStr">
        <is>
          <t>PI-RADS 1 | PI-RADS 2 | PI-RADS 3 | PI-RADS 4 | PI-RADS 5 | Not done</t>
        </is>
      </c>
      <c r="K24" s="14" t="n"/>
      <c r="L24" t="inlineStr">
        <is>
          <t>Existing (v2)</t>
        </is>
      </c>
    </row>
    <row r="25">
      <c r="A25" s="14" t="inlineStr">
        <is>
          <t>Clinical_Entry</t>
        </is>
      </c>
      <c r="B25" s="14" t="inlineStr">
        <is>
          <t>Biopsy Details</t>
        </is>
      </c>
      <c r="C25" s="14" t="inlineStr">
        <is>
          <t>gleason_score</t>
        </is>
      </c>
      <c r="D25" s="14" t="inlineStr">
        <is>
          <t>Gleason Score</t>
        </is>
      </c>
      <c r="E25" s="14" t="inlineStr">
        <is>
          <t>dropdown</t>
        </is>
      </c>
      <c r="F25" s="14" t="inlineStr">
        <is>
          <t>Single column</t>
        </is>
      </c>
      <c r="G25" s="14" t="inlineStr">
        <is>
          <t>categorical</t>
        </is>
      </c>
      <c r="H25" s="14" t="inlineStr">
        <is>
          <t>No</t>
        </is>
      </c>
      <c r="I25" s="14" t="inlineStr">
        <is>
          <t>No</t>
        </is>
      </c>
      <c r="J25" s="14" t="inlineStr">
        <is>
          <t>3+3=6 | 3+4=7 | 4+3=7 | 4+4=8 | 4+5=9 | 5+4=9 | 5+5=10</t>
        </is>
      </c>
      <c r="K25" s="14" t="inlineStr">
        <is>
          <t>gs</t>
        </is>
      </c>
      <c r="L25" t="inlineStr">
        <is>
          <t>Existing (v2)</t>
        </is>
      </c>
    </row>
    <row r="26" ht="28.5" customHeight="1">
      <c r="A26" s="14" t="inlineStr">
        <is>
          <t>Clinical_Entry</t>
        </is>
      </c>
      <c r="B26" s="14" t="inlineStr">
        <is>
          <t>Biopsy Details</t>
        </is>
      </c>
      <c r="C26" s="14" t="inlineStr">
        <is>
          <t>isup_grade_group</t>
        </is>
      </c>
      <c r="D26" s="14" t="inlineStr">
        <is>
          <t>ISUP Grade Group</t>
        </is>
      </c>
      <c r="E26" s="14" t="inlineStr">
        <is>
          <t>dropdown</t>
        </is>
      </c>
      <c r="F26" s="14" t="inlineStr">
        <is>
          <t>Single column</t>
        </is>
      </c>
      <c r="G26" s="14" t="inlineStr">
        <is>
          <t>categorical</t>
        </is>
      </c>
      <c r="H26" s="14" t="inlineStr">
        <is>
          <t>No</t>
        </is>
      </c>
      <c r="I26" s="14" t="inlineStr">
        <is>
          <t>No</t>
        </is>
      </c>
      <c r="J26" s="14" t="inlineStr">
        <is>
          <t>Grade 1 (3+3) | Grade 2 (3+4) | Grade 3 (4+3) | Grade 4 (4+4) | Grade 5 (≥4+5)</t>
        </is>
      </c>
      <c r="K26" s="14" t="n"/>
      <c r="L26" t="inlineStr">
        <is>
          <t>Existing (v2)</t>
        </is>
      </c>
    </row>
    <row r="27">
      <c r="A27" s="14" t="inlineStr">
        <is>
          <t>Clinical_Entry</t>
        </is>
      </c>
      <c r="B27" s="14" t="inlineStr">
        <is>
          <t>Biopsy Details</t>
        </is>
      </c>
      <c r="C27" s="14" t="inlineStr">
        <is>
          <t>cores_positive_total</t>
        </is>
      </c>
      <c r="D27" s="14" t="inlineStr">
        <is>
          <t>Cores Positive / Total</t>
        </is>
      </c>
      <c r="E27" s="14" t="inlineStr">
        <is>
          <t>text</t>
        </is>
      </c>
      <c r="F27" s="14" t="inlineStr">
        <is>
          <t>Single column</t>
        </is>
      </c>
      <c r="G27" s="14" t="inlineStr">
        <is>
          <t>text</t>
        </is>
      </c>
      <c r="H27" s="14" t="inlineStr">
        <is>
          <t>No</t>
        </is>
      </c>
      <c r="I27" s="14" t="inlineStr">
        <is>
          <t>No</t>
        </is>
      </c>
      <c r="J27" s="14" t="n"/>
      <c r="K27" s="14" t="inlineStr">
        <is>
          <t>UI stores as free text, e.g. 10 / 12.</t>
        </is>
      </c>
      <c r="L27" t="inlineStr">
        <is>
          <t>Existing (v2)</t>
        </is>
      </c>
    </row>
    <row r="28" ht="28.5" customHeight="1">
      <c r="A28" s="14" t="inlineStr">
        <is>
          <t>Clinical_Entry</t>
        </is>
      </c>
      <c r="B28" s="14" t="inlineStr">
        <is>
          <t>Biopsy Details</t>
        </is>
      </c>
      <c r="C28" s="14" t="inlineStr">
        <is>
          <t>core_involvement_pct</t>
        </is>
      </c>
      <c r="D28" s="14" t="inlineStr">
        <is>
          <t>% Core Involvement</t>
        </is>
      </c>
      <c r="E28" s="14" t="inlineStr">
        <is>
          <t>text</t>
        </is>
      </c>
      <c r="F28" s="14" t="inlineStr">
        <is>
          <t>Single column</t>
        </is>
      </c>
      <c r="G28" s="14" t="inlineStr">
        <is>
          <t>decimal number</t>
        </is>
      </c>
      <c r="H28" s="14" t="inlineStr">
        <is>
          <t>No</t>
        </is>
      </c>
      <c r="I28" s="14" t="inlineStr">
        <is>
          <t>No</t>
        </is>
      </c>
      <c r="J28" s="14" t="inlineStr">
        <is>
          <t>%</t>
        </is>
      </c>
      <c r="K28" s="14" t="inlineStr">
        <is>
          <t>Workbook expects percent as whole number, e.g. 83.</t>
        </is>
      </c>
      <c r="L28" t="inlineStr">
        <is>
          <t>Existing (v2)</t>
        </is>
      </c>
    </row>
    <row r="29">
      <c r="A29" s="14" t="inlineStr">
        <is>
          <t>Clinical_Entry</t>
        </is>
      </c>
      <c r="B29" s="14" t="inlineStr">
        <is>
          <t>Biopsy Details</t>
        </is>
      </c>
      <c r="C29" s="14" t="inlineStr">
        <is>
          <t>perineural_invasion</t>
        </is>
      </c>
      <c r="D29" s="14" t="inlineStr">
        <is>
          <t>Perineural Invasion</t>
        </is>
      </c>
      <c r="E29" s="14" t="inlineStr">
        <is>
          <t>dropdown</t>
        </is>
      </c>
      <c r="F29" s="14" t="inlineStr">
        <is>
          <t>Single column</t>
        </is>
      </c>
      <c r="G29" s="14" t="inlineStr">
        <is>
          <t>categorical</t>
        </is>
      </c>
      <c r="H29" s="14" t="inlineStr">
        <is>
          <t>No</t>
        </is>
      </c>
      <c r="I29" s="14" t="inlineStr">
        <is>
          <t>No</t>
        </is>
      </c>
      <c r="J29" s="14" t="inlineStr">
        <is>
          <t>Not assessed | Absent | Present</t>
        </is>
      </c>
      <c r="K29" s="14" t="n"/>
      <c r="L29" t="inlineStr">
        <is>
          <t>Existing (v2)</t>
        </is>
      </c>
    </row>
    <row r="30" ht="28.5" customHeight="1">
      <c r="A30" s="14" t="inlineStr">
        <is>
          <t>Clinical_Entry</t>
        </is>
      </c>
      <c r="B30" s="14" t="inlineStr">
        <is>
          <t>Biopsy Details</t>
        </is>
      </c>
      <c r="C30" s="14" t="inlineStr">
        <is>
          <t>ece_extracapsular_extension</t>
        </is>
      </c>
      <c r="D30" s="14" t="inlineStr">
        <is>
          <t>ECE (Extracapsular Extension)</t>
        </is>
      </c>
      <c r="E30" s="14" t="inlineStr">
        <is>
          <t>dropdown</t>
        </is>
      </c>
      <c r="F30" s="14" t="inlineStr">
        <is>
          <t>Single column</t>
        </is>
      </c>
      <c r="G30" s="14" t="inlineStr">
        <is>
          <t>categorical</t>
        </is>
      </c>
      <c r="H30" s="14" t="inlineStr">
        <is>
          <t>No</t>
        </is>
      </c>
      <c r="I30" s="14" t="inlineStr">
        <is>
          <t>No</t>
        </is>
      </c>
      <c r="J30" s="14" t="inlineStr">
        <is>
          <t>Not assessed | Absent | Present (radiological)</t>
        </is>
      </c>
      <c r="K30" s="14" t="n"/>
      <c r="L30" t="inlineStr">
        <is>
          <t>Existing (v2)</t>
        </is>
      </c>
    </row>
    <row r="31" ht="28.5" customHeight="1">
      <c r="A31" s="14" t="inlineStr">
        <is>
          <t>Clinical_Entry</t>
        </is>
      </c>
      <c r="B31" s="14" t="inlineStr">
        <is>
          <t>TNM Staging &amp; Risk Classification</t>
        </is>
      </c>
      <c r="C31" s="14" t="inlineStr">
        <is>
          <t>clinical_t_stage</t>
        </is>
      </c>
      <c r="D31" s="14" t="inlineStr">
        <is>
          <t>Clinical T Stage</t>
        </is>
      </c>
      <c r="E31" s="14" t="inlineStr">
        <is>
          <t>dropdown</t>
        </is>
      </c>
      <c r="F31" s="14" t="inlineStr">
        <is>
          <t>Single column</t>
        </is>
      </c>
      <c r="G31" s="14" t="inlineStr">
        <is>
          <t>categorical</t>
        </is>
      </c>
      <c r="H31" s="14" t="inlineStr">
        <is>
          <t>Yes</t>
        </is>
      </c>
      <c r="I31" s="14" t="inlineStr">
        <is>
          <t>No</t>
        </is>
      </c>
      <c r="J31" s="14" t="inlineStr">
        <is>
          <t>cT1a | cT1b | cT1c | cT2a | cT2b | cT2c | cT3a | cT3b | cT4</t>
        </is>
      </c>
      <c r="K31" s="14" t="n"/>
      <c r="L31" t="inlineStr">
        <is>
          <t>Existing (v2)</t>
        </is>
      </c>
    </row>
    <row r="32" ht="28.5" customHeight="1">
      <c r="A32" s="14" t="inlineStr">
        <is>
          <t>Clinical_Entry</t>
        </is>
      </c>
      <c r="B32" s="14" t="inlineStr">
        <is>
          <t>TNM Staging &amp; Risk Classification</t>
        </is>
      </c>
      <c r="C32" s="14" t="inlineStr">
        <is>
          <t>n_stage</t>
        </is>
      </c>
      <c r="D32" s="14" t="inlineStr">
        <is>
          <t>N Stage</t>
        </is>
      </c>
      <c r="E32" s="14" t="inlineStr">
        <is>
          <t>dropdown</t>
        </is>
      </c>
      <c r="F32" s="14" t="inlineStr">
        <is>
          <t>Single column</t>
        </is>
      </c>
      <c r="G32" s="14" t="inlineStr">
        <is>
          <t>categorical</t>
        </is>
      </c>
      <c r="H32" s="14" t="inlineStr">
        <is>
          <t>No</t>
        </is>
      </c>
      <c r="I32" s="14" t="inlineStr">
        <is>
          <t>No</t>
        </is>
      </c>
      <c r="J32" s="14" t="inlineStr">
        <is>
          <t>cN0 | cN1 | cNX</t>
        </is>
      </c>
      <c r="K32" s="14" t="n"/>
      <c r="L32" t="inlineStr">
        <is>
          <t>Existing (v2)</t>
        </is>
      </c>
    </row>
    <row r="33" ht="28.5" customHeight="1">
      <c r="A33" s="14" t="inlineStr">
        <is>
          <t>Clinical_Entry</t>
        </is>
      </c>
      <c r="B33" s="14" t="inlineStr">
        <is>
          <t>TNM Staging &amp; Risk Classification</t>
        </is>
      </c>
      <c r="C33" s="14" t="inlineStr">
        <is>
          <t>m_stage</t>
        </is>
      </c>
      <c r="D33" s="14" t="inlineStr">
        <is>
          <t>M Stage</t>
        </is>
      </c>
      <c r="E33" s="14" t="inlineStr">
        <is>
          <t>dropdown</t>
        </is>
      </c>
      <c r="F33" s="14" t="inlineStr">
        <is>
          <t>Single column</t>
        </is>
      </c>
      <c r="G33" s="14" t="inlineStr">
        <is>
          <t>categorical</t>
        </is>
      </c>
      <c r="H33" s="14" t="inlineStr">
        <is>
          <t>No</t>
        </is>
      </c>
      <c r="I33" s="14" t="inlineStr">
        <is>
          <t>No</t>
        </is>
      </c>
      <c r="J33" s="14" t="inlineStr">
        <is>
          <t>cM0 | M1a (Non-regional LN) | M1b (Bone mets) | M1c (Visceral mets)</t>
        </is>
      </c>
      <c r="K33" s="14" t="n"/>
      <c r="L33" t="inlineStr">
        <is>
          <t>Existing (v2)</t>
        </is>
      </c>
    </row>
    <row r="34" ht="28.5" customHeight="1">
      <c r="A34" s="14" t="inlineStr">
        <is>
          <t>Clinical_Entry</t>
        </is>
      </c>
      <c r="B34" s="14" t="inlineStr">
        <is>
          <t>TNM Staging &amp; Risk Classification</t>
        </is>
      </c>
      <c r="C34" s="14" t="inlineStr">
        <is>
          <t>eau_risk_category</t>
        </is>
      </c>
      <c r="D34" s="14" t="inlineStr">
        <is>
          <t>EAU Risk Category</t>
        </is>
      </c>
      <c r="E34" s="14" t="inlineStr">
        <is>
          <t>dropdown</t>
        </is>
      </c>
      <c r="F34" s="14" t="inlineStr">
        <is>
          <t>Single column</t>
        </is>
      </c>
      <c r="G34" s="14" t="inlineStr">
        <is>
          <t>categorical</t>
        </is>
      </c>
      <c r="H34" s="14" t="inlineStr">
        <is>
          <t>No</t>
        </is>
      </c>
      <c r="I34" s="14" t="inlineStr">
        <is>
          <t>No</t>
        </is>
      </c>
      <c r="J34" s="14" t="inlineStr">
        <is>
          <t>Low | Intermediate – Favourable | Intermediate – Unfavourable | High | Very High / Locally Advanced | M1 – Metastatic HSPC</t>
        </is>
      </c>
      <c r="K34" s="14" t="inlineStr">
        <is>
          <t>risk-s</t>
        </is>
      </c>
      <c r="L34" t="inlineStr">
        <is>
          <t>Existing (v2)</t>
        </is>
      </c>
    </row>
    <row r="35" ht="42.75" customHeight="1">
      <c r="A35" s="14" t="inlineStr">
        <is>
          <t>Clinical_Entry</t>
        </is>
      </c>
      <c r="B35" s="14" t="inlineStr">
        <is>
          <t>TNM Staging &amp; Risk Classification</t>
        </is>
      </c>
      <c r="C35" s="14" t="inlineStr">
        <is>
          <t>ecog_performance_status</t>
        </is>
      </c>
      <c r="D35" s="14" t="inlineStr">
        <is>
          <t>ECOG Performance Status</t>
        </is>
      </c>
      <c r="E35" s="14" t="inlineStr">
        <is>
          <t>dropdown</t>
        </is>
      </c>
      <c r="F35" s="14" t="inlineStr">
        <is>
          <t>Single column</t>
        </is>
      </c>
      <c r="G35" s="14" t="inlineStr">
        <is>
          <t>categorical</t>
        </is>
      </c>
      <c r="H35" s="14" t="inlineStr">
        <is>
          <t>No</t>
        </is>
      </c>
      <c r="I35" s="14" t="inlineStr">
        <is>
          <t>No</t>
        </is>
      </c>
      <c r="J35" s="14" t="inlineStr">
        <is>
          <t>0 – Fully active | 1 – Restricted strenuous activity | 2 – Ambulatory, self-care only | 3 – Limited self-care | 4 – Completely disabled</t>
        </is>
      </c>
      <c r="K35" s="14" t="n"/>
      <c r="L35" t="inlineStr">
        <is>
          <t>Existing (v2)</t>
        </is>
      </c>
    </row>
    <row r="36" ht="28.5" customHeight="1">
      <c r="A36" s="14" t="inlineStr">
        <is>
          <t>Clinical_Entry</t>
        </is>
      </c>
      <c r="B36" s="14" t="inlineStr">
        <is>
          <t>TNM Staging &amp; Risk Classification</t>
        </is>
      </c>
      <c r="C36" s="14" t="inlineStr">
        <is>
          <t>castration_status</t>
        </is>
      </c>
      <c r="D36" s="14" t="inlineStr">
        <is>
          <t>Castration Status</t>
        </is>
      </c>
      <c r="E36" s="14" t="inlineStr">
        <is>
          <t>dropdown</t>
        </is>
      </c>
      <c r="F36" s="14" t="inlineStr">
        <is>
          <t>Single column</t>
        </is>
      </c>
      <c r="G36" s="14" t="inlineStr">
        <is>
          <t>categorical</t>
        </is>
      </c>
      <c r="H36" s="14" t="inlineStr">
        <is>
          <t>No</t>
        </is>
      </c>
      <c r="I36" s="14" t="inlineStr">
        <is>
          <t>No</t>
        </is>
      </c>
      <c r="J36" s="14" t="inlineStr">
        <is>
          <t>Hormone-sensitive (HSPC) | Castration-resistant (CRPC) | Not on ADT</t>
        </is>
      </c>
      <c r="K36" s="14" t="inlineStr">
        <is>
          <t>cast-s</t>
        </is>
      </c>
      <c r="L36" t="inlineStr">
        <is>
          <t>Existing (v2)</t>
        </is>
      </c>
    </row>
    <row r="37">
      <c r="A37" s="14" t="inlineStr">
        <is>
          <t>Clinical_Entry</t>
        </is>
      </c>
      <c r="B37" s="14" t="inlineStr">
        <is>
          <t>Imaging &amp; Molecular Workup</t>
        </is>
      </c>
      <c r="C37" s="14" t="inlineStr">
        <is>
          <t>mpmri_pelvis</t>
        </is>
      </c>
      <c r="D37" s="14" t="inlineStr">
        <is>
          <t>mpMRI Pelvis</t>
        </is>
      </c>
      <c r="E37" s="14" t="inlineStr">
        <is>
          <t>dropdown</t>
        </is>
      </c>
      <c r="F37" s="14" t="inlineStr">
        <is>
          <t>Single column</t>
        </is>
      </c>
      <c r="G37" s="14" t="inlineStr">
        <is>
          <t>categorical</t>
        </is>
      </c>
      <c r="H37" s="14" t="inlineStr">
        <is>
          <t>No</t>
        </is>
      </c>
      <c r="I37" s="14" t="inlineStr">
        <is>
          <t>No</t>
        </is>
      </c>
      <c r="J37" s="14" t="inlineStr">
        <is>
          <t>Not done | Done — abnormal | Done — normal</t>
        </is>
      </c>
      <c r="K37" s="14" t="n"/>
      <c r="L37" t="inlineStr">
        <is>
          <t>Existing (v2)</t>
        </is>
      </c>
    </row>
    <row r="38" ht="28.5" customHeight="1">
      <c r="A38" s="14" t="inlineStr">
        <is>
          <t>Clinical_Entry</t>
        </is>
      </c>
      <c r="B38" s="14" t="inlineStr">
        <is>
          <t>Imaging &amp; Molecular Workup</t>
        </is>
      </c>
      <c r="C38" s="14" t="inlineStr">
        <is>
          <t>bone_scan_spect</t>
        </is>
      </c>
      <c r="D38" s="14" t="inlineStr">
        <is>
          <t>Bone Scan / SPECT</t>
        </is>
      </c>
      <c r="E38" s="14" t="inlineStr">
        <is>
          <t>dropdown</t>
        </is>
      </c>
      <c r="F38" s="14" t="inlineStr">
        <is>
          <t>Single column</t>
        </is>
      </c>
      <c r="G38" s="14" t="inlineStr">
        <is>
          <t>categorical</t>
        </is>
      </c>
      <c r="H38" s="14" t="inlineStr">
        <is>
          <t>No</t>
        </is>
      </c>
      <c r="I38" s="14" t="inlineStr">
        <is>
          <t>No</t>
        </is>
      </c>
      <c r="J38" s="14" t="inlineStr">
        <is>
          <t>Not done | Done — no metastases | Done — bone metastases present</t>
        </is>
      </c>
      <c r="K38" s="14" t="inlineStr">
        <is>
          <t>bone-s</t>
        </is>
      </c>
      <c r="L38" t="inlineStr">
        <is>
          <t>Existing (v2)</t>
        </is>
      </c>
    </row>
    <row r="39" ht="28.5" customHeight="1">
      <c r="A39" s="14" t="inlineStr">
        <is>
          <t>Clinical_Entry</t>
        </is>
      </c>
      <c r="B39" s="14" t="inlineStr">
        <is>
          <t>Imaging &amp; Molecular Workup</t>
        </is>
      </c>
      <c r="C39" s="14" t="inlineStr">
        <is>
          <t>psma_pet_ct</t>
        </is>
      </c>
      <c r="D39" s="14" t="inlineStr">
        <is>
          <t>PSMA PET-CT</t>
        </is>
      </c>
      <c r="E39" s="14" t="inlineStr">
        <is>
          <t>dropdown</t>
        </is>
      </c>
      <c r="F39" s="14" t="inlineStr">
        <is>
          <t>Single column</t>
        </is>
      </c>
      <c r="G39" s="14" t="inlineStr">
        <is>
          <t>categorical</t>
        </is>
      </c>
      <c r="H39" s="14" t="inlineStr">
        <is>
          <t>No</t>
        </is>
      </c>
      <c r="I39" s="14" t="inlineStr">
        <is>
          <t>No</t>
        </is>
      </c>
      <c r="J39" s="14" t="inlineStr">
        <is>
          <t>Not done | Done — no uptake | Done — pelvic nodal uptake | Done — distant metastases</t>
        </is>
      </c>
      <c r="K39" s="14" t="inlineStr">
        <is>
          <t>psma-s</t>
        </is>
      </c>
      <c r="L39" t="inlineStr">
        <is>
          <t>Existing (v2)</t>
        </is>
      </c>
    </row>
    <row r="40">
      <c r="A40" s="14" t="inlineStr">
        <is>
          <t>Clinical_Entry</t>
        </is>
      </c>
      <c r="B40" s="14" t="inlineStr">
        <is>
          <t>Imaging &amp; Molecular Workup</t>
        </is>
      </c>
      <c r="C40" s="14" t="inlineStr">
        <is>
          <t>ct_abdomen_pelvis</t>
        </is>
      </c>
      <c r="D40" s="14" t="inlineStr">
        <is>
          <t>CT Chest / Abdomen / Pelvis</t>
        </is>
      </c>
      <c r="E40" s="14" t="inlineStr">
        <is>
          <t>dropdown</t>
        </is>
      </c>
      <c r="F40" s="14" t="inlineStr">
        <is>
          <t>Single column</t>
        </is>
      </c>
      <c r="G40" s="14" t="inlineStr">
        <is>
          <t>categorical</t>
        </is>
      </c>
      <c r="H40" s="14" t="inlineStr">
        <is>
          <t>No</t>
        </is>
      </c>
      <c r="I40" s="14" t="inlineStr">
        <is>
          <t>No</t>
        </is>
      </c>
      <c r="J40" s="14" t="inlineStr">
        <is>
          <t>Not done | Done — lymphadenopathy | Done — normal</t>
        </is>
      </c>
      <c r="K40" s="14" t="n"/>
      <c r="L40" s="20" t="inlineStr">
        <is>
          <t>AMENDED (v3) — label</t>
        </is>
      </c>
    </row>
    <row r="41" ht="28.5" customHeight="1">
      <c r="A41" s="14" t="inlineStr">
        <is>
          <t>Clinical_Entry</t>
        </is>
      </c>
      <c r="B41" s="14" t="inlineStr">
        <is>
          <t>Imaging &amp; Molecular Workup</t>
        </is>
      </c>
      <c r="C41" s="14" t="inlineStr">
        <is>
          <t>dexa_bone_density</t>
        </is>
      </c>
      <c r="D41" s="14" t="inlineStr">
        <is>
          <t>DEXA Bone Density</t>
        </is>
      </c>
      <c r="E41" s="14" t="inlineStr">
        <is>
          <t>dropdown</t>
        </is>
      </c>
      <c r="F41" s="14" t="inlineStr">
        <is>
          <t>Single column</t>
        </is>
      </c>
      <c r="G41" s="14" t="inlineStr">
        <is>
          <t>categorical</t>
        </is>
      </c>
      <c r="H41" s="14" t="inlineStr">
        <is>
          <t>No</t>
        </is>
      </c>
      <c r="I41" s="14" t="inlineStr">
        <is>
          <t>No</t>
        </is>
      </c>
      <c r="J41" s="14" t="inlineStr">
        <is>
          <t>Not done | Normal (T-score ≥ −1) | Osteopenia (T −1 to −2.5) | Osteoporosis (T-score &lt; −2.5)</t>
        </is>
      </c>
      <c r="K41" s="14" t="inlineStr">
        <is>
          <t>dexa-s</t>
        </is>
      </c>
      <c r="L41" t="inlineStr">
        <is>
          <t>Existing (v2)</t>
        </is>
      </c>
    </row>
    <row r="42" ht="28.5" customHeight="1">
      <c r="A42" s="14" t="inlineStr">
        <is>
          <t>Clinical_Entry</t>
        </is>
      </c>
      <c r="B42" s="14" t="inlineStr">
        <is>
          <t>Imaging &amp; Molecular Workup</t>
        </is>
      </c>
      <c r="C42" s="14" t="inlineStr">
        <is>
          <t>germline_somatic_testing</t>
        </is>
      </c>
      <c r="D42" s="14" t="inlineStr">
        <is>
          <t>Germline / Somatic Testing</t>
        </is>
      </c>
      <c r="E42" s="14" t="inlineStr">
        <is>
          <t>dropdown</t>
        </is>
      </c>
      <c r="F42" s="14" t="inlineStr">
        <is>
          <t>Single column</t>
        </is>
      </c>
      <c r="G42" s="14" t="inlineStr">
        <is>
          <t>categorical</t>
        </is>
      </c>
      <c r="H42" s="14" t="inlineStr">
        <is>
          <t>No</t>
        </is>
      </c>
      <c r="I42" s="14" t="inlineStr">
        <is>
          <t>No</t>
        </is>
      </c>
      <c r="J42" s="14" t="inlineStr">
        <is>
          <t>Not done | BRCA1/2 — pathogenic variant | BRCA1/2 — negative | MSI-H / dMMR | HRR mutation (non-BRCA) | Pending | ATM mutation</t>
        </is>
      </c>
      <c r="K42" s="14" t="inlineStr">
        <is>
          <t>gen-s</t>
        </is>
      </c>
      <c r="L42" s="20" t="inlineStr">
        <is>
          <t>AMENDED (v3) — +ATM</t>
        </is>
      </c>
    </row>
    <row r="43">
      <c r="A43" s="14" t="inlineStr">
        <is>
          <t>Clinical_Entry</t>
        </is>
      </c>
      <c r="B43" s="14" t="inlineStr">
        <is>
          <t>Comorbidities &amp; Family History</t>
        </is>
      </c>
      <c r="C43" s="14" t="inlineStr">
        <is>
          <t>comorbidity_1</t>
        </is>
      </c>
      <c r="D43" s="14" t="inlineStr">
        <is>
          <t>Active Comorbidity: Type 2 Diabetes</t>
        </is>
      </c>
      <c r="E43" s="14" t="inlineStr">
        <is>
          <t>multi-select chip group</t>
        </is>
      </c>
      <c r="F43" s="14" t="inlineStr">
        <is>
          <t>Yes / No flag column</t>
        </is>
      </c>
      <c r="G43" s="14" t="inlineStr">
        <is>
          <t>categorical</t>
        </is>
      </c>
      <c r="H43" s="14" t="inlineStr">
        <is>
          <t>No</t>
        </is>
      </c>
      <c r="I43" s="14" t="inlineStr">
        <is>
          <t>No</t>
        </is>
      </c>
      <c r="J43" s="14" t="inlineStr">
        <is>
          <t>| Yes | No</t>
        </is>
      </c>
      <c r="K43" s="14" t="inlineStr">
        <is>
          <t>Original UI is a multi-select chip group.</t>
        </is>
      </c>
      <c r="L43" t="inlineStr">
        <is>
          <t>Existing (v2)</t>
        </is>
      </c>
    </row>
    <row r="44">
      <c r="A44" s="14" t="inlineStr">
        <is>
          <t>Clinical_Entry</t>
        </is>
      </c>
      <c r="B44" s="14" t="inlineStr">
        <is>
          <t>Comorbidities &amp; Family History</t>
        </is>
      </c>
      <c r="C44" s="14" t="inlineStr">
        <is>
          <t>comorbidity_2</t>
        </is>
      </c>
      <c r="D44" s="14" t="inlineStr">
        <is>
          <t>Active Comorbidity: Hypertension</t>
        </is>
      </c>
      <c r="E44" s="14" t="inlineStr">
        <is>
          <t>multi-select chip group</t>
        </is>
      </c>
      <c r="F44" s="14" t="inlineStr">
        <is>
          <t>Yes / No flag column</t>
        </is>
      </c>
      <c r="G44" s="14" t="inlineStr">
        <is>
          <t>categorical</t>
        </is>
      </c>
      <c r="H44" s="14" t="inlineStr">
        <is>
          <t>No</t>
        </is>
      </c>
      <c r="I44" s="14" t="inlineStr">
        <is>
          <t>No</t>
        </is>
      </c>
      <c r="J44" s="14" t="inlineStr">
        <is>
          <t>| Yes | No</t>
        </is>
      </c>
      <c r="K44" s="14" t="inlineStr">
        <is>
          <t>Original UI is a multi-select chip group.</t>
        </is>
      </c>
      <c r="L44" t="inlineStr">
        <is>
          <t>Existing (v2)</t>
        </is>
      </c>
    </row>
    <row r="45">
      <c r="A45" s="14" t="inlineStr">
        <is>
          <t>Clinical_Entry</t>
        </is>
      </c>
      <c r="B45" s="14" t="inlineStr">
        <is>
          <t>Comorbidities &amp; Family History</t>
        </is>
      </c>
      <c r="C45" s="14" t="inlineStr">
        <is>
          <t>comorbidity_3</t>
        </is>
      </c>
      <c r="D45" s="14" t="inlineStr">
        <is>
          <t>Active Comorbidity: CAD / IHD</t>
        </is>
      </c>
      <c r="E45" s="14" t="inlineStr">
        <is>
          <t>multi-select chip group</t>
        </is>
      </c>
      <c r="F45" s="14" t="inlineStr">
        <is>
          <t>Yes / No flag column</t>
        </is>
      </c>
      <c r="G45" s="14" t="inlineStr">
        <is>
          <t>categorical</t>
        </is>
      </c>
      <c r="H45" s="14" t="inlineStr">
        <is>
          <t>No</t>
        </is>
      </c>
      <c r="I45" s="14" t="inlineStr">
        <is>
          <t>No</t>
        </is>
      </c>
      <c r="J45" s="14" t="inlineStr">
        <is>
          <t>| Yes | No</t>
        </is>
      </c>
      <c r="K45" s="14" t="inlineStr">
        <is>
          <t>Original UI is a multi-select chip group.</t>
        </is>
      </c>
      <c r="L45" t="inlineStr">
        <is>
          <t>Existing (v2)</t>
        </is>
      </c>
    </row>
    <row r="46">
      <c r="A46" s="14" t="inlineStr">
        <is>
          <t>Clinical_Entry</t>
        </is>
      </c>
      <c r="B46" s="14" t="inlineStr">
        <is>
          <t>Comorbidities &amp; Family History</t>
        </is>
      </c>
      <c r="C46" s="14" t="inlineStr">
        <is>
          <t>comorbidity_4</t>
        </is>
      </c>
      <c r="D46" s="14" t="inlineStr">
        <is>
          <t>Active Comorbidity: CKD (Stage)</t>
        </is>
      </c>
      <c r="E46" s="14" t="inlineStr">
        <is>
          <t>multi-select chip group</t>
        </is>
      </c>
      <c r="F46" s="14" t="inlineStr">
        <is>
          <t>Yes / No flag column</t>
        </is>
      </c>
      <c r="G46" s="14" t="inlineStr">
        <is>
          <t>categorical</t>
        </is>
      </c>
      <c r="H46" s="14" t="inlineStr">
        <is>
          <t>No</t>
        </is>
      </c>
      <c r="I46" s="14" t="inlineStr">
        <is>
          <t>No</t>
        </is>
      </c>
      <c r="J46" s="14" t="inlineStr">
        <is>
          <t>| Yes | No</t>
        </is>
      </c>
      <c r="K46" s="14" t="inlineStr">
        <is>
          <t>Original UI is a multi-select chip group.</t>
        </is>
      </c>
      <c r="L46" t="inlineStr">
        <is>
          <t>Existing (v2)</t>
        </is>
      </c>
    </row>
    <row r="47">
      <c r="A47" s="14" t="inlineStr">
        <is>
          <t>Clinical_Entry</t>
        </is>
      </c>
      <c r="B47" s="14" t="inlineStr">
        <is>
          <t>Comorbidities &amp; Family History</t>
        </is>
      </c>
      <c r="C47" s="14" t="inlineStr">
        <is>
          <t>comorbidity_5</t>
        </is>
      </c>
      <c r="D47" s="14" t="inlineStr">
        <is>
          <t>Active Comorbidity: COPD</t>
        </is>
      </c>
      <c r="E47" s="14" t="inlineStr">
        <is>
          <t>multi-select chip group</t>
        </is>
      </c>
      <c r="F47" s="14" t="inlineStr">
        <is>
          <t>Yes / No flag column</t>
        </is>
      </c>
      <c r="G47" s="14" t="inlineStr">
        <is>
          <t>categorical</t>
        </is>
      </c>
      <c r="H47" s="14" t="inlineStr">
        <is>
          <t>No</t>
        </is>
      </c>
      <c r="I47" s="14" t="inlineStr">
        <is>
          <t>No</t>
        </is>
      </c>
      <c r="J47" s="14" t="inlineStr">
        <is>
          <t>| Yes | No</t>
        </is>
      </c>
      <c r="K47" s="14" t="inlineStr">
        <is>
          <t>Original UI is a multi-select chip group.</t>
        </is>
      </c>
      <c r="L47" t="inlineStr">
        <is>
          <t>Existing (v2)</t>
        </is>
      </c>
    </row>
    <row r="48">
      <c r="A48" s="14" t="inlineStr">
        <is>
          <t>Clinical_Entry</t>
        </is>
      </c>
      <c r="B48" s="14" t="inlineStr">
        <is>
          <t>Comorbidities &amp; Family History</t>
        </is>
      </c>
      <c r="C48" s="14" t="inlineStr">
        <is>
          <t>comorbidity_6</t>
        </is>
      </c>
      <c r="D48" s="14" t="inlineStr">
        <is>
          <t>Active Comorbidity: Stroke / TIA</t>
        </is>
      </c>
      <c r="E48" s="14" t="inlineStr">
        <is>
          <t>multi-select chip group</t>
        </is>
      </c>
      <c r="F48" s="14" t="inlineStr">
        <is>
          <t>Yes / No flag column</t>
        </is>
      </c>
      <c r="G48" s="14" t="inlineStr">
        <is>
          <t>categorical</t>
        </is>
      </c>
      <c r="H48" s="14" t="inlineStr">
        <is>
          <t>No</t>
        </is>
      </c>
      <c r="I48" s="14" t="inlineStr">
        <is>
          <t>No</t>
        </is>
      </c>
      <c r="J48" s="14" t="inlineStr">
        <is>
          <t>| Yes | No</t>
        </is>
      </c>
      <c r="K48" s="14" t="inlineStr">
        <is>
          <t>Original UI is a multi-select chip group.</t>
        </is>
      </c>
      <c r="L48" t="inlineStr">
        <is>
          <t>Existing (v2)</t>
        </is>
      </c>
    </row>
    <row r="49">
      <c r="A49" s="14" t="inlineStr">
        <is>
          <t>Clinical_Entry</t>
        </is>
      </c>
      <c r="B49" s="14" t="inlineStr">
        <is>
          <t>Comorbidities &amp; Family History</t>
        </is>
      </c>
      <c r="C49" s="14" t="inlineStr">
        <is>
          <t>comorbidity_7</t>
        </is>
      </c>
      <c r="D49" s="14" t="inlineStr">
        <is>
          <t>Active Comorbidity: Anaemia</t>
        </is>
      </c>
      <c r="E49" s="14" t="inlineStr">
        <is>
          <t>multi-select chip group</t>
        </is>
      </c>
      <c r="F49" s="14" t="inlineStr">
        <is>
          <t>Yes / No flag column</t>
        </is>
      </c>
      <c r="G49" s="14" t="inlineStr">
        <is>
          <t>categorical</t>
        </is>
      </c>
      <c r="H49" s="14" t="inlineStr">
        <is>
          <t>No</t>
        </is>
      </c>
      <c r="I49" s="14" t="inlineStr">
        <is>
          <t>No</t>
        </is>
      </c>
      <c r="J49" s="14" t="inlineStr">
        <is>
          <t>| Yes | No</t>
        </is>
      </c>
      <c r="K49" s="14" t="inlineStr">
        <is>
          <t>Original UI is a multi-select chip group.</t>
        </is>
      </c>
      <c r="L49" t="inlineStr">
        <is>
          <t>Existing (v2)</t>
        </is>
      </c>
    </row>
    <row r="50">
      <c r="A50" s="14" t="inlineStr">
        <is>
          <t>Clinical_Entry</t>
        </is>
      </c>
      <c r="B50" s="14" t="inlineStr">
        <is>
          <t>Comorbidities &amp; Family History</t>
        </is>
      </c>
      <c r="C50" s="14" t="inlineStr">
        <is>
          <t>comorbidity_8</t>
        </is>
      </c>
      <c r="D50" s="14" t="inlineStr">
        <is>
          <t>Active Comorbidity: Osteoporosis</t>
        </is>
      </c>
      <c r="E50" s="14" t="inlineStr">
        <is>
          <t>multi-select chip group</t>
        </is>
      </c>
      <c r="F50" s="14" t="inlineStr">
        <is>
          <t>Yes / No flag column</t>
        </is>
      </c>
      <c r="G50" s="14" t="inlineStr">
        <is>
          <t>categorical</t>
        </is>
      </c>
      <c r="H50" s="14" t="inlineStr">
        <is>
          <t>No</t>
        </is>
      </c>
      <c r="I50" s="14" t="inlineStr">
        <is>
          <t>No</t>
        </is>
      </c>
      <c r="J50" s="14" t="inlineStr">
        <is>
          <t>| Yes | No</t>
        </is>
      </c>
      <c r="K50" s="14" t="inlineStr">
        <is>
          <t>Original UI is a multi-select chip group.</t>
        </is>
      </c>
      <c r="L50" t="inlineStr">
        <is>
          <t>Existing (v2)</t>
        </is>
      </c>
    </row>
    <row r="51">
      <c r="A51" s="14" t="inlineStr">
        <is>
          <t>Clinical_Entry</t>
        </is>
      </c>
      <c r="B51" s="14" t="inlineStr">
        <is>
          <t>Comorbidities &amp; Family History</t>
        </is>
      </c>
      <c r="C51" s="14" t="inlineStr">
        <is>
          <t>comorbidity_9</t>
        </is>
      </c>
      <c r="D51" s="14" t="inlineStr">
        <is>
          <t>Active Comorbidity: None significant</t>
        </is>
      </c>
      <c r="E51" s="14" t="inlineStr">
        <is>
          <t>multi-select chip group</t>
        </is>
      </c>
      <c r="F51" s="14" t="inlineStr">
        <is>
          <t>Yes / No flag column</t>
        </is>
      </c>
      <c r="G51" s="14" t="inlineStr">
        <is>
          <t>categorical</t>
        </is>
      </c>
      <c r="H51" s="14" t="inlineStr">
        <is>
          <t>No</t>
        </is>
      </c>
      <c r="I51" s="14" t="inlineStr">
        <is>
          <t>No</t>
        </is>
      </c>
      <c r="J51" s="14" t="inlineStr">
        <is>
          <t>| Yes | No</t>
        </is>
      </c>
      <c r="K51" s="14" t="inlineStr">
        <is>
          <t>Original UI is a multi-select chip group.</t>
        </is>
      </c>
      <c r="L51" t="inlineStr">
        <is>
          <t>Existing (v2)</t>
        </is>
      </c>
    </row>
    <row r="52" ht="28.5" customHeight="1">
      <c r="A52" s="14" t="inlineStr">
        <is>
          <t>Clinical_Entry</t>
        </is>
      </c>
      <c r="B52" s="14" t="inlineStr">
        <is>
          <t>Comorbidities &amp; Family History</t>
        </is>
      </c>
      <c r="C52" s="14" t="inlineStr">
        <is>
          <t>family_history_1</t>
        </is>
      </c>
      <c r="D52" s="14" t="inlineStr">
        <is>
          <t>Family History: Prostate Ca (first-degree)</t>
        </is>
      </c>
      <c r="E52" s="14" t="inlineStr">
        <is>
          <t>multi-select chip group</t>
        </is>
      </c>
      <c r="F52" s="14" t="inlineStr">
        <is>
          <t>Yes / No flag column</t>
        </is>
      </c>
      <c r="G52" s="14" t="inlineStr">
        <is>
          <t>categorical</t>
        </is>
      </c>
      <c r="H52" s="14" t="inlineStr">
        <is>
          <t>No</t>
        </is>
      </c>
      <c r="I52" s="14" t="inlineStr">
        <is>
          <t>No</t>
        </is>
      </c>
      <c r="J52" s="14" t="inlineStr">
        <is>
          <t>| Yes | No</t>
        </is>
      </c>
      <c r="K52" s="14" t="inlineStr">
        <is>
          <t>Original UI is a multi-select chip group.</t>
        </is>
      </c>
      <c r="L52" t="inlineStr">
        <is>
          <t>Existing (v2)</t>
        </is>
      </c>
    </row>
    <row r="53">
      <c r="A53" s="14" t="inlineStr">
        <is>
          <t>Clinical_Entry</t>
        </is>
      </c>
      <c r="B53" s="14" t="inlineStr">
        <is>
          <t>Comorbidities &amp; Family History</t>
        </is>
      </c>
      <c r="C53" s="14" t="inlineStr">
        <is>
          <t>family_history_2</t>
        </is>
      </c>
      <c r="D53" s="14" t="inlineStr">
        <is>
          <t>Family History: Breast Ca (family)</t>
        </is>
      </c>
      <c r="E53" s="14" t="inlineStr">
        <is>
          <t>multi-select chip group</t>
        </is>
      </c>
      <c r="F53" s="14" t="inlineStr">
        <is>
          <t>Yes / No flag column</t>
        </is>
      </c>
      <c r="G53" s="14" t="inlineStr">
        <is>
          <t>categorical</t>
        </is>
      </c>
      <c r="H53" s="14" t="inlineStr">
        <is>
          <t>No</t>
        </is>
      </c>
      <c r="I53" s="14" t="inlineStr">
        <is>
          <t>No</t>
        </is>
      </c>
      <c r="J53" s="14" t="inlineStr">
        <is>
          <t>| Yes | No</t>
        </is>
      </c>
      <c r="K53" s="14" t="inlineStr">
        <is>
          <t>Original UI is a multi-select chip group.</t>
        </is>
      </c>
      <c r="L53" t="inlineStr">
        <is>
          <t>Existing (v2)</t>
        </is>
      </c>
    </row>
    <row r="54">
      <c r="A54" s="14" t="inlineStr">
        <is>
          <t>Clinical_Entry</t>
        </is>
      </c>
      <c r="B54" s="14" t="inlineStr">
        <is>
          <t>Comorbidities &amp; Family History</t>
        </is>
      </c>
      <c r="C54" s="14" t="inlineStr">
        <is>
          <t>family_history_3</t>
        </is>
      </c>
      <c r="D54" s="14" t="inlineStr">
        <is>
          <t>Family History: Ovarian cancer</t>
        </is>
      </c>
      <c r="E54" s="14" t="inlineStr">
        <is>
          <t>multi-select chip group</t>
        </is>
      </c>
      <c r="F54" s="14" t="inlineStr">
        <is>
          <t>Yes / No flag column</t>
        </is>
      </c>
      <c r="G54" s="14" t="inlineStr">
        <is>
          <t>categorical</t>
        </is>
      </c>
      <c r="H54" s="14" t="inlineStr">
        <is>
          <t>No</t>
        </is>
      </c>
      <c r="I54" s="14" t="inlineStr">
        <is>
          <t>No</t>
        </is>
      </c>
      <c r="J54" s="14" t="inlineStr">
        <is>
          <t>| Yes | No</t>
        </is>
      </c>
      <c r="K54" s="14" t="inlineStr">
        <is>
          <t>Original UI is a multi-select chip group.</t>
        </is>
      </c>
      <c r="L54" t="inlineStr">
        <is>
          <t>Existing (v2)</t>
        </is>
      </c>
    </row>
    <row r="55">
      <c r="A55" s="14" t="inlineStr">
        <is>
          <t>Clinical_Entry</t>
        </is>
      </c>
      <c r="B55" s="14" t="inlineStr">
        <is>
          <t>Comorbidities &amp; Family History</t>
        </is>
      </c>
      <c r="C55" s="14" t="inlineStr">
        <is>
          <t>family_history_4</t>
        </is>
      </c>
      <c r="D55" s="14" t="inlineStr">
        <is>
          <t>Family History: Colon cancer</t>
        </is>
      </c>
      <c r="E55" s="14" t="inlineStr">
        <is>
          <t>multi-select chip group</t>
        </is>
      </c>
      <c r="F55" s="14" t="inlineStr">
        <is>
          <t>Yes / No flag column</t>
        </is>
      </c>
      <c r="G55" s="14" t="inlineStr">
        <is>
          <t>categorical</t>
        </is>
      </c>
      <c r="H55" s="14" t="inlineStr">
        <is>
          <t>No</t>
        </is>
      </c>
      <c r="I55" s="14" t="inlineStr">
        <is>
          <t>No</t>
        </is>
      </c>
      <c r="J55" s="14" t="inlineStr">
        <is>
          <t>| Yes | No</t>
        </is>
      </c>
      <c r="K55" s="14" t="inlineStr">
        <is>
          <t>Original UI is a multi-select chip group.</t>
        </is>
      </c>
      <c r="L55" t="inlineStr">
        <is>
          <t>Existing (v2)</t>
        </is>
      </c>
    </row>
    <row r="56">
      <c r="A56" s="14" t="inlineStr">
        <is>
          <t>Clinical_Entry</t>
        </is>
      </c>
      <c r="B56" s="14" t="inlineStr">
        <is>
          <t>Comorbidities &amp; Family History</t>
        </is>
      </c>
      <c r="C56" s="14" t="inlineStr">
        <is>
          <t>family_history_5</t>
        </is>
      </c>
      <c r="D56" s="14" t="inlineStr">
        <is>
          <t>Family History: Pancreatic cancer</t>
        </is>
      </c>
      <c r="E56" s="14" t="inlineStr">
        <is>
          <t>multi-select chip group</t>
        </is>
      </c>
      <c r="F56" s="14" t="inlineStr">
        <is>
          <t>Yes / No flag column</t>
        </is>
      </c>
      <c r="G56" s="14" t="inlineStr">
        <is>
          <t>categorical</t>
        </is>
      </c>
      <c r="H56" s="14" t="inlineStr">
        <is>
          <t>No</t>
        </is>
      </c>
      <c r="I56" s="14" t="inlineStr">
        <is>
          <t>No</t>
        </is>
      </c>
      <c r="J56" s="14" t="inlineStr">
        <is>
          <t>| Yes | No</t>
        </is>
      </c>
      <c r="K56" s="14" t="inlineStr">
        <is>
          <t>Original UI is a multi-select chip group.</t>
        </is>
      </c>
      <c r="L56" t="inlineStr">
        <is>
          <t>Existing (v2)</t>
        </is>
      </c>
    </row>
    <row r="57">
      <c r="A57" s="14" t="inlineStr">
        <is>
          <t>Clinical_Entry</t>
        </is>
      </c>
      <c r="B57" s="14" t="inlineStr">
        <is>
          <t>Comorbidities &amp; Family History</t>
        </is>
      </c>
      <c r="C57" s="14" t="inlineStr">
        <is>
          <t>family_history_6</t>
        </is>
      </c>
      <c r="D57" s="14" t="inlineStr">
        <is>
          <t>Family History: None known</t>
        </is>
      </c>
      <c r="E57" s="14" t="inlineStr">
        <is>
          <t>multi-select chip group</t>
        </is>
      </c>
      <c r="F57" s="14" t="inlineStr">
        <is>
          <t>Yes / No flag column</t>
        </is>
      </c>
      <c r="G57" s="14" t="inlineStr">
        <is>
          <t>categorical</t>
        </is>
      </c>
      <c r="H57" s="14" t="inlineStr">
        <is>
          <t>No</t>
        </is>
      </c>
      <c r="I57" s="14" t="inlineStr">
        <is>
          <t>No</t>
        </is>
      </c>
      <c r="J57" s="14" t="inlineStr">
        <is>
          <t>| Yes | No</t>
        </is>
      </c>
      <c r="K57" s="14" t="inlineStr">
        <is>
          <t>Original UI is a multi-select chip group.</t>
        </is>
      </c>
      <c r="L57" t="inlineStr">
        <is>
          <t>Existing (v2)</t>
        </is>
      </c>
    </row>
    <row r="58">
      <c r="A58" s="14" t="inlineStr">
        <is>
          <t>Treatment_Entry</t>
        </is>
      </c>
      <c r="B58" s="14" t="inlineStr">
        <is>
          <t>Workbook Linkage</t>
        </is>
      </c>
      <c r="C58" s="14" t="inlineStr">
        <is>
          <t>patient_code</t>
        </is>
      </c>
      <c r="D58" s="14" t="inlineStr">
        <is>
          <t>Unique Patient Code</t>
        </is>
      </c>
      <c r="E58" s="14" t="inlineStr">
        <is>
          <t>text</t>
        </is>
      </c>
      <c r="F58" s="14" t="inlineStr">
        <is>
          <t>Single column</t>
        </is>
      </c>
      <c r="G58" s="14" t="inlineStr">
        <is>
          <t>text</t>
        </is>
      </c>
      <c r="H58" s="14" t="inlineStr">
        <is>
          <t>No</t>
        </is>
      </c>
      <c r="I58" s="14" t="inlineStr">
        <is>
          <t>Yes</t>
        </is>
      </c>
      <c r="J58" s="14" t="n"/>
      <c r="K58" s="14" t="inlineStr">
        <is>
          <t>Match the Demographics_Entry unique patient code.</t>
        </is>
      </c>
      <c r="L58" t="inlineStr">
        <is>
          <t>Existing (v2)</t>
        </is>
      </c>
    </row>
    <row r="59" ht="28.5" customHeight="1">
      <c r="A59" s="14" t="inlineStr">
        <is>
          <t>Treatment_Entry</t>
        </is>
      </c>
      <c r="B59" s="14" t="inlineStr">
        <is>
          <t>Treatment Intent &amp; MDT</t>
        </is>
      </c>
      <c r="C59" s="14" t="inlineStr">
        <is>
          <t>treatment_intent</t>
        </is>
      </c>
      <c r="D59" s="14" t="inlineStr">
        <is>
          <t>Treatment Intent</t>
        </is>
      </c>
      <c r="E59" s="14" t="inlineStr">
        <is>
          <t>single-select chip group</t>
        </is>
      </c>
      <c r="F59" s="14" t="inlineStr">
        <is>
          <t>Dropdown</t>
        </is>
      </c>
      <c r="G59" s="14" t="inlineStr">
        <is>
          <t>categorical</t>
        </is>
      </c>
      <c r="H59" s="14" t="inlineStr">
        <is>
          <t>No</t>
        </is>
      </c>
      <c r="I59" s="14" t="inlineStr">
        <is>
          <t>No</t>
        </is>
      </c>
      <c r="J59" s="14" t="inlineStr">
        <is>
          <t>Curative | Disease control (locally advanced) | Palliative / Symptomatic | Active surveillance | Watchful waiting</t>
        </is>
      </c>
      <c r="K59" s="14" t="n"/>
      <c r="L59" s="20" t="inlineStr">
        <is>
          <t>SUPERSEDED (v3) → moved to Treatment_Plans (now one-to-many)</t>
        </is>
      </c>
    </row>
    <row r="60" ht="28.5" customHeight="1">
      <c r="A60" s="14" t="inlineStr">
        <is>
          <t>Treatment_Entry</t>
        </is>
      </c>
      <c r="B60" s="14" t="inlineStr">
        <is>
          <t>Treatment Intent &amp; MDT</t>
        </is>
      </c>
      <c r="C60" s="14" t="inlineStr">
        <is>
          <t>mdt_tumour_board_status</t>
        </is>
      </c>
      <c r="D60" s="14" t="inlineStr">
        <is>
          <t>MDT / Tumour Board Status</t>
        </is>
      </c>
      <c r="E60" s="14" t="inlineStr">
        <is>
          <t>dropdown</t>
        </is>
      </c>
      <c r="F60" s="14" t="inlineStr">
        <is>
          <t>Single column</t>
        </is>
      </c>
      <c r="G60" s="14" t="inlineStr">
        <is>
          <t>categorical</t>
        </is>
      </c>
      <c r="H60" s="14" t="inlineStr">
        <is>
          <t>No</t>
        </is>
      </c>
      <c r="I60" s="14" t="inlineStr">
        <is>
          <t>No</t>
        </is>
      </c>
      <c r="J60" s="14" t="inlineStr">
        <is>
          <t>Pending review | Reviewed — plan agreed | Not applicable</t>
        </is>
      </c>
      <c r="K60" s="14" t="n"/>
      <c r="L60" s="20" t="inlineStr">
        <is>
          <t>SUPERSEDED (v3) → moved to Treatment_Plans (now one-to-many)</t>
        </is>
      </c>
    </row>
    <row r="61">
      <c r="A61" s="14" t="inlineStr">
        <is>
          <t>Treatment_Entry</t>
        </is>
      </c>
      <c r="B61" s="14" t="inlineStr">
        <is>
          <t>Treatment Intent &amp; MDT</t>
        </is>
      </c>
      <c r="C61" s="14" t="inlineStr">
        <is>
          <t>date_of_mdt_review</t>
        </is>
      </c>
      <c r="D61" s="14" t="inlineStr">
        <is>
          <t>Date of MDT Review</t>
        </is>
      </c>
      <c r="E61" s="14" t="inlineStr">
        <is>
          <t>date</t>
        </is>
      </c>
      <c r="F61" s="14" t="inlineStr">
        <is>
          <t>Single column</t>
        </is>
      </c>
      <c r="G61" s="14" t="inlineStr">
        <is>
          <t>date</t>
        </is>
      </c>
      <c r="H61" s="14" t="inlineStr">
        <is>
          <t>No</t>
        </is>
      </c>
      <c r="I61" s="14" t="inlineStr">
        <is>
          <t>No</t>
        </is>
      </c>
      <c r="J61" s="14" t="inlineStr">
        <is>
          <t>yyyy-mm-dd</t>
        </is>
      </c>
      <c r="K61" s="14" t="n"/>
      <c r="L61" s="20" t="inlineStr">
        <is>
          <t>SUPERSEDED (v3) → moved to Treatment_Plans (now one-to-many)</t>
        </is>
      </c>
    </row>
    <row r="62" ht="28.5" customHeight="1">
      <c r="A62" s="14" t="inlineStr">
        <is>
          <t>Treatment_Entry</t>
        </is>
      </c>
      <c r="B62" s="14" t="inlineStr">
        <is>
          <t>Treatment Intent &amp; MDT</t>
        </is>
      </c>
      <c r="C62" s="14" t="inlineStr">
        <is>
          <t>clinical_trial_eligibility</t>
        </is>
      </c>
      <c r="D62" s="14" t="inlineStr">
        <is>
          <t>Clinical Trial Eligibility</t>
        </is>
      </c>
      <c r="E62" s="14" t="inlineStr">
        <is>
          <t>dropdown</t>
        </is>
      </c>
      <c r="F62" s="14" t="inlineStr">
        <is>
          <t>Single column</t>
        </is>
      </c>
      <c r="G62" s="14" t="inlineStr">
        <is>
          <t>categorical</t>
        </is>
      </c>
      <c r="H62" s="14" t="inlineStr">
        <is>
          <t>No</t>
        </is>
      </c>
      <c r="I62" s="14" t="inlineStr">
        <is>
          <t>No</t>
        </is>
      </c>
      <c r="J62" s="14" t="inlineStr">
        <is>
          <t>Not screened | Eligible — under screening | Enrolled in trial | Not eligible</t>
        </is>
      </c>
      <c r="K62" s="14" t="n"/>
      <c r="L62" t="inlineStr">
        <is>
          <t>Existing (v2)</t>
        </is>
      </c>
    </row>
    <row r="63" ht="28.5" customHeight="1">
      <c r="A63" s="14" t="inlineStr">
        <is>
          <t>Treatment_Entry</t>
        </is>
      </c>
      <c r="B63" s="14" t="inlineStr">
        <is>
          <t>Treatment Intent &amp; MDT</t>
        </is>
      </c>
      <c r="C63" s="14" t="inlineStr">
        <is>
          <t>treatment_start_date</t>
        </is>
      </c>
      <c r="D63" s="14" t="inlineStr">
        <is>
          <t>Treatment Start Date</t>
        </is>
      </c>
      <c r="E63" s="14" t="inlineStr">
        <is>
          <t>date</t>
        </is>
      </c>
      <c r="F63" s="14" t="inlineStr">
        <is>
          <t>Single column</t>
        </is>
      </c>
      <c r="G63" s="14" t="inlineStr">
        <is>
          <t>date</t>
        </is>
      </c>
      <c r="H63" s="14" t="inlineStr">
        <is>
          <t>No</t>
        </is>
      </c>
      <c r="I63" s="14" t="inlineStr">
        <is>
          <t>No</t>
        </is>
      </c>
      <c r="J63" s="14" t="inlineStr">
        <is>
          <t>yyyy-mm-dd</t>
        </is>
      </c>
      <c r="K63" s="14" t="inlineStr">
        <is>
          <t>Use the first actual active treatment date for time-to-treatment analytics.</t>
        </is>
      </c>
      <c r="L63" t="inlineStr">
        <is>
          <t>Existing (v2)</t>
        </is>
      </c>
    </row>
    <row r="64" ht="42.75" customHeight="1">
      <c r="A64" s="14" t="inlineStr">
        <is>
          <t>Treatment_Entry</t>
        </is>
      </c>
      <c r="B64" s="14" t="inlineStr">
        <is>
          <t>Androgen Deprivation Therapy (ADT)</t>
        </is>
      </c>
      <c r="C64" s="14" t="inlineStr">
        <is>
          <t>adt_type</t>
        </is>
      </c>
      <c r="D64" s="14" t="inlineStr">
        <is>
          <t>ADT Type</t>
        </is>
      </c>
      <c r="E64" s="14" t="inlineStr">
        <is>
          <t>dropdown</t>
        </is>
      </c>
      <c r="F64" s="14" t="inlineStr">
        <is>
          <t>Single column</t>
        </is>
      </c>
      <c r="G64" s="14" t="inlineStr">
        <is>
          <t>categorical</t>
        </is>
      </c>
      <c r="H64" s="14" t="inlineStr">
        <is>
          <t>No</t>
        </is>
      </c>
      <c r="I64" s="14" t="inlineStr">
        <is>
          <t>No</t>
        </is>
      </c>
      <c r="J64" s="14" t="inlineStr">
        <is>
          <t>Not on ADT | LHRH Agonist (Leuprolide / Lupride) | LHRH Agonist (Triptorelin / Decapeptyl) | LHRH Agonist (Goserelin / Zoladex) | GnRH Antagonist (Degarelix / Firmagon) | Bilateral orchidectomy</t>
        </is>
      </c>
      <c r="K64" s="14" t="n"/>
      <c r="L64" t="inlineStr">
        <is>
          <t>Existing (v2)</t>
        </is>
      </c>
    </row>
    <row r="65" ht="42.75" customHeight="1">
      <c r="A65" s="14" t="inlineStr">
        <is>
          <t>Treatment_Entry</t>
        </is>
      </c>
      <c r="B65" s="14" t="inlineStr">
        <is>
          <t>Androgen Deprivation Therapy (ADT)</t>
        </is>
      </c>
      <c r="C65" s="14" t="inlineStr">
        <is>
          <t>formulation_dose</t>
        </is>
      </c>
      <c r="D65" s="14" t="inlineStr">
        <is>
          <t>Formulation / Dose</t>
        </is>
      </c>
      <c r="E65" s="14" t="inlineStr">
        <is>
          <t>dropdown</t>
        </is>
      </c>
      <c r="F65" s="14" t="inlineStr">
        <is>
          <t>Single column</t>
        </is>
      </c>
      <c r="G65" s="14" t="inlineStr">
        <is>
          <t>categorical</t>
        </is>
      </c>
      <c r="H65" s="14" t="inlineStr">
        <is>
          <t>No</t>
        </is>
      </c>
      <c r="I65" s="14" t="inlineStr">
        <is>
          <t>No</t>
        </is>
      </c>
      <c r="J65" s="14" t="inlineStr">
        <is>
          <t>Leuprolide 11.25 mg (monthly) | Leuprolide 22.5 mg depot (3-monthly) | Leuprolide 45 mg depot (6-monthly) | Goserelin 3.6 mg (monthly) | Goserelin 10.8 mg (3-monthly)</t>
        </is>
      </c>
      <c r="K65" s="14" t="n"/>
      <c r="L65" t="inlineStr">
        <is>
          <t>Existing (v2)</t>
        </is>
      </c>
    </row>
    <row r="66" ht="28.5" customHeight="1">
      <c r="A66" s="14" t="inlineStr">
        <is>
          <t>Treatment_Entry</t>
        </is>
      </c>
      <c r="B66" s="14" t="inlineStr">
        <is>
          <t>Androgen Deprivation Therapy (ADT)</t>
        </is>
      </c>
      <c r="C66" s="14" t="inlineStr">
        <is>
          <t>adt_start_date</t>
        </is>
      </c>
      <c r="D66" s="14" t="inlineStr">
        <is>
          <t>ADT Start Date</t>
        </is>
      </c>
      <c r="E66" s="14" t="inlineStr">
        <is>
          <t>date</t>
        </is>
      </c>
      <c r="F66" s="14" t="inlineStr">
        <is>
          <t>Single column</t>
        </is>
      </c>
      <c r="G66" s="14" t="inlineStr">
        <is>
          <t>date</t>
        </is>
      </c>
      <c r="H66" s="14" t="inlineStr">
        <is>
          <t>No</t>
        </is>
      </c>
      <c r="I66" s="14" t="inlineStr">
        <is>
          <t>No</t>
        </is>
      </c>
      <c r="J66" s="14" t="inlineStr">
        <is>
          <t>yyyy-mm-dd</t>
        </is>
      </c>
      <c r="K66" s="14" t="n"/>
      <c r="L66" t="inlineStr">
        <is>
          <t>Existing (v2)</t>
        </is>
      </c>
    </row>
    <row r="67" ht="42.75" customHeight="1">
      <c r="A67" s="14" t="inlineStr">
        <is>
          <t>Treatment_Entry</t>
        </is>
      </c>
      <c r="B67" s="14" t="inlineStr">
        <is>
          <t>Androgen Deprivation Therapy (ADT)</t>
        </is>
      </c>
      <c r="C67" s="14" t="inlineStr">
        <is>
          <t>anti_androgen</t>
        </is>
      </c>
      <c r="D67" s="14" t="inlineStr">
        <is>
          <t>Anti-androgen</t>
        </is>
      </c>
      <c r="E67" s="14" t="inlineStr">
        <is>
          <t>dropdown</t>
        </is>
      </c>
      <c r="F67" s="14" t="inlineStr">
        <is>
          <t>Single column</t>
        </is>
      </c>
      <c r="G67" s="14" t="inlineStr">
        <is>
          <t>categorical</t>
        </is>
      </c>
      <c r="H67" s="14" t="inlineStr">
        <is>
          <t>No</t>
        </is>
      </c>
      <c r="I67" s="14" t="inlineStr">
        <is>
          <t>No</t>
        </is>
      </c>
      <c r="J67" s="14" t="inlineStr">
        <is>
          <t>None | Bicalutamide 50 mg OD (flare cover) | Bicalutamide 150 mg OD | Enzalutamide 160 mg OD | Apalutamide 240 mg OD | Darolutamide 1200 mg/day</t>
        </is>
      </c>
      <c r="K67" s="14" t="inlineStr">
        <is>
          <t>aa-s</t>
        </is>
      </c>
      <c r="L67" t="inlineStr">
        <is>
          <t>Existing (v2)</t>
        </is>
      </c>
    </row>
    <row r="68" ht="42.75" customHeight="1">
      <c r="A68" s="14" t="inlineStr">
        <is>
          <t>Treatment_Entry</t>
        </is>
      </c>
      <c r="B68" s="14" t="inlineStr">
        <is>
          <t>Androgen Deprivation Therapy (ADT)</t>
        </is>
      </c>
      <c r="C68" s="14" t="inlineStr">
        <is>
          <t>arsi_intensification</t>
        </is>
      </c>
      <c r="D68" s="14" t="inlineStr">
        <is>
          <t>ARSI Intensification</t>
        </is>
      </c>
      <c r="E68" s="14" t="inlineStr">
        <is>
          <t>dropdown</t>
        </is>
      </c>
      <c r="F68" s="14" t="inlineStr">
        <is>
          <t>Single column</t>
        </is>
      </c>
      <c r="G68" s="14" t="inlineStr">
        <is>
          <t>categorical</t>
        </is>
      </c>
      <c r="H68" s="14" t="inlineStr">
        <is>
          <t>No</t>
        </is>
      </c>
      <c r="I68" s="14" t="inlineStr">
        <is>
          <t>No</t>
        </is>
      </c>
      <c r="J68" s="14" t="inlineStr">
        <is>
          <t>Not initiated | Abiraterone + Prednisone (Zytiga / generic) | Enzalutamide (Xtandi) | Apalutamide (Erleada) | Darolutamide (Nubeqa)</t>
        </is>
      </c>
      <c r="K68" s="14" t="inlineStr">
        <is>
          <t>arsi-s  [Pathway calls this ARPI — naming decision pending]</t>
        </is>
      </c>
      <c r="L68" t="inlineStr">
        <is>
          <t>Existing (v2)</t>
        </is>
      </c>
    </row>
    <row r="69" ht="28.5" customHeight="1">
      <c r="A69" s="14" t="inlineStr">
        <is>
          <t>Treatment_Entry</t>
        </is>
      </c>
      <c r="B69" s="14" t="inlineStr">
        <is>
          <t>Androgen Deprivation Therapy (ADT)</t>
        </is>
      </c>
      <c r="C69" s="14" t="inlineStr">
        <is>
          <t>testosterone_level</t>
        </is>
      </c>
      <c r="D69" s="14" t="inlineStr">
        <is>
          <t>Testosterone Level</t>
        </is>
      </c>
      <c r="E69" s="14" t="inlineStr">
        <is>
          <t>text</t>
        </is>
      </c>
      <c r="F69" s="14" t="inlineStr">
        <is>
          <t>Single column</t>
        </is>
      </c>
      <c r="G69" s="14" t="inlineStr">
        <is>
          <t>text</t>
        </is>
      </c>
      <c r="H69" s="14" t="inlineStr">
        <is>
          <t>No</t>
        </is>
      </c>
      <c r="I69" s="14" t="inlineStr">
        <is>
          <t>No</t>
        </is>
      </c>
      <c r="J69" s="14" t="inlineStr">
        <is>
          <t>ng/dL</t>
        </is>
      </c>
      <c r="K69" s="14" t="inlineStr">
        <is>
          <t>UI placeholder: Castrate: &lt;50 ng/dL.</t>
        </is>
      </c>
      <c r="L69" t="inlineStr">
        <is>
          <t>Existing (v2)</t>
        </is>
      </c>
    </row>
    <row r="70" ht="42.75" customHeight="1">
      <c r="A70" s="14" t="inlineStr">
        <is>
          <t>Treatment_Entry</t>
        </is>
      </c>
      <c r="B70" s="14" t="inlineStr">
        <is>
          <t>Chemotherapy</t>
        </is>
      </c>
      <c r="C70" s="14" t="inlineStr">
        <is>
          <t>chemotherapy_regimen</t>
        </is>
      </c>
      <c r="D70" s="14" t="inlineStr">
        <is>
          <t>Chemotherapy Regimen</t>
        </is>
      </c>
      <c r="E70" s="14" t="inlineStr">
        <is>
          <t>dropdown</t>
        </is>
      </c>
      <c r="F70" s="14" t="inlineStr">
        <is>
          <t>Single column</t>
        </is>
      </c>
      <c r="G70" s="14" t="inlineStr">
        <is>
          <t>categorical</t>
        </is>
      </c>
      <c r="H70" s="14" t="inlineStr">
        <is>
          <t>No</t>
        </is>
      </c>
      <c r="I70" s="14" t="inlineStr">
        <is>
          <t>No</t>
        </is>
      </c>
      <c r="J70" s="14" t="inlineStr">
        <is>
          <t>Not indicated / Not started | Docetaxel 75 mg/m² q3w | Cabazitaxel 25 mg/m² q3w | Docetaxel → Cabazitaxel (sequential)</t>
        </is>
      </c>
      <c r="K70" s="14" t="n"/>
      <c r="L70" t="inlineStr">
        <is>
          <t>Existing (v2)</t>
        </is>
      </c>
    </row>
    <row r="71" ht="28.5" customHeight="1">
      <c r="A71" s="14" t="inlineStr">
        <is>
          <t>Treatment_Entry</t>
        </is>
      </c>
      <c r="B71" s="14" t="inlineStr">
        <is>
          <t>Chemotherapy</t>
        </is>
      </c>
      <c r="C71" s="14" t="inlineStr">
        <is>
          <t>number_of_cycles_completed</t>
        </is>
      </c>
      <c r="D71" s="14" t="inlineStr">
        <is>
          <t>Number of Cycles Completed</t>
        </is>
      </c>
      <c r="E71" s="14" t="inlineStr">
        <is>
          <t>number</t>
        </is>
      </c>
      <c r="F71" s="14" t="inlineStr">
        <is>
          <t>Single column</t>
        </is>
      </c>
      <c r="G71" s="14" t="inlineStr">
        <is>
          <t>whole number</t>
        </is>
      </c>
      <c r="H71" s="14" t="inlineStr">
        <is>
          <t>No</t>
        </is>
      </c>
      <c r="I71" s="14" t="inlineStr">
        <is>
          <t>No</t>
        </is>
      </c>
      <c r="J71" s="14" t="inlineStr">
        <is>
          <t>0 to 20</t>
        </is>
      </c>
      <c r="K71" s="14" t="n"/>
      <c r="L71" t="inlineStr">
        <is>
          <t>Existing (v2)</t>
        </is>
      </c>
    </row>
    <row r="72">
      <c r="A72" s="14" t="inlineStr">
        <is>
          <t>Treatment_Entry</t>
        </is>
      </c>
      <c r="B72" s="14" t="inlineStr">
        <is>
          <t>Chemotherapy</t>
        </is>
      </c>
      <c r="C72" s="14" t="inlineStr">
        <is>
          <t>last_cycle_date</t>
        </is>
      </c>
      <c r="D72" s="14" t="inlineStr">
        <is>
          <t>Last Cycle Date</t>
        </is>
      </c>
      <c r="E72" s="14" t="inlineStr">
        <is>
          <t>date</t>
        </is>
      </c>
      <c r="F72" s="14" t="inlineStr">
        <is>
          <t>Single column</t>
        </is>
      </c>
      <c r="G72" s="14" t="inlineStr">
        <is>
          <t>date</t>
        </is>
      </c>
      <c r="H72" s="14" t="inlineStr">
        <is>
          <t>No</t>
        </is>
      </c>
      <c r="I72" s="14" t="inlineStr">
        <is>
          <t>No</t>
        </is>
      </c>
      <c r="J72" s="14" t="inlineStr">
        <is>
          <t>yyyy-mm-dd</t>
        </is>
      </c>
      <c r="K72" s="14" t="n"/>
      <c r="L72" t="inlineStr">
        <is>
          <t>Existing (v2)</t>
        </is>
      </c>
    </row>
    <row r="73" ht="42.75" customHeight="1">
      <c r="A73" s="14" t="inlineStr">
        <is>
          <t>Treatment_Entry</t>
        </is>
      </c>
      <c r="B73" s="14" t="inlineStr">
        <is>
          <t>Radiotherapy Plan</t>
        </is>
      </c>
      <c r="C73" s="14" t="inlineStr">
        <is>
          <t>rt_indication</t>
        </is>
      </c>
      <c r="D73" s="14" t="inlineStr">
        <is>
          <t>RT Indication</t>
        </is>
      </c>
      <c r="E73" s="14" t="inlineStr">
        <is>
          <t>dropdown</t>
        </is>
      </c>
      <c r="F73" s="14" t="inlineStr">
        <is>
          <t>Single column</t>
        </is>
      </c>
      <c r="G73" s="14" t="inlineStr">
        <is>
          <t>categorical</t>
        </is>
      </c>
      <c r="H73" s="14" t="inlineStr">
        <is>
          <t>No</t>
        </is>
      </c>
      <c r="I73" s="14" t="inlineStr">
        <is>
          <t>No</t>
        </is>
      </c>
      <c r="J73" s="14" t="inlineStr">
        <is>
          <t>Not planned | Definitive RT (prostate ± LN) | Planned — awaiting CGHS approval | Salvage RT (post-RP) | Palliative RT (bone mets)</t>
        </is>
      </c>
      <c r="K73" s="14" t="n"/>
      <c r="L73" t="inlineStr">
        <is>
          <t>Existing (v2)</t>
        </is>
      </c>
    </row>
    <row r="74" ht="28.5" customHeight="1">
      <c r="A74" s="14" t="inlineStr">
        <is>
          <t>Treatment_Entry</t>
        </is>
      </c>
      <c r="B74" s="14" t="inlineStr">
        <is>
          <t>Radiotherapy Plan</t>
        </is>
      </c>
      <c r="C74" s="14" t="inlineStr">
        <is>
          <t>rt_status</t>
        </is>
      </c>
      <c r="D74" s="14" t="inlineStr">
        <is>
          <t>RT Status</t>
        </is>
      </c>
      <c r="E74" s="14" t="inlineStr">
        <is>
          <t>dropdown</t>
        </is>
      </c>
      <c r="F74" s="14" t="inlineStr">
        <is>
          <t>Single column</t>
        </is>
      </c>
      <c r="G74" s="14" t="inlineStr">
        <is>
          <t>categorical</t>
        </is>
      </c>
      <c r="H74" s="14" t="inlineStr">
        <is>
          <t>No</t>
        </is>
      </c>
      <c r="I74" s="14" t="inlineStr">
        <is>
          <t>No</t>
        </is>
      </c>
      <c r="J74" s="14" t="inlineStr">
        <is>
          <t>Not started | Planned | Active / Ongoing | Completed | Deferred / Cancelled</t>
        </is>
      </c>
      <c r="K74" s="14" t="inlineStr">
        <is>
          <t>Used to distinguish planned, active, and completed RT on the treatment dashboard.</t>
        </is>
      </c>
      <c r="L74" t="inlineStr">
        <is>
          <t>Existing (v2)</t>
        </is>
      </c>
    </row>
    <row r="75" ht="28.5" customHeight="1">
      <c r="A75" s="14" t="inlineStr">
        <is>
          <t>Treatment_Entry</t>
        </is>
      </c>
      <c r="B75" s="14" t="inlineStr">
        <is>
          <t>Radiotherapy Plan</t>
        </is>
      </c>
      <c r="C75" s="14" t="inlineStr">
        <is>
          <t>rt_modality</t>
        </is>
      </c>
      <c r="D75" s="14" t="inlineStr">
        <is>
          <t>RT Modality</t>
        </is>
      </c>
      <c r="E75" s="14" t="inlineStr">
        <is>
          <t>dropdown</t>
        </is>
      </c>
      <c r="F75" s="14" t="inlineStr">
        <is>
          <t>Single column</t>
        </is>
      </c>
      <c r="G75" s="14" t="inlineStr">
        <is>
          <t>categorical</t>
        </is>
      </c>
      <c r="H75" s="14" t="inlineStr">
        <is>
          <t>No</t>
        </is>
      </c>
      <c r="I75" s="14" t="inlineStr">
        <is>
          <t>No</t>
        </is>
      </c>
      <c r="J75" s="14" t="inlineStr">
        <is>
          <t>IMRT / VMAT | 3D-CRT | SBRT (5 fractions) | LDR Brachytherapy | HDR Brachytherapy boost | Proton therapy</t>
        </is>
      </c>
      <c r="K75" s="14" t="n"/>
      <c r="L75" t="inlineStr">
        <is>
          <t>Existing (v2)</t>
        </is>
      </c>
    </row>
    <row r="76">
      <c r="A76" s="14" t="inlineStr">
        <is>
          <t>Treatment_Entry</t>
        </is>
      </c>
      <c r="B76" s="14" t="inlineStr">
        <is>
          <t>Radiotherapy Plan</t>
        </is>
      </c>
      <c r="C76" s="14" t="inlineStr">
        <is>
          <t>target_volume</t>
        </is>
      </c>
      <c r="D76" s="14" t="inlineStr">
        <is>
          <t>Target Volume</t>
        </is>
      </c>
      <c r="E76" s="14" t="inlineStr">
        <is>
          <t>dropdown</t>
        </is>
      </c>
      <c r="F76" s="14" t="inlineStr">
        <is>
          <t>Single column</t>
        </is>
      </c>
      <c r="G76" s="14" t="inlineStr">
        <is>
          <t>categorical</t>
        </is>
      </c>
      <c r="H76" s="14" t="inlineStr">
        <is>
          <t>No</t>
        </is>
      </c>
      <c r="I76" s="14" t="inlineStr">
        <is>
          <t>No</t>
        </is>
      </c>
      <c r="J76" s="14" t="inlineStr">
        <is>
          <t>Prostate only | Prostate + Whole Pelvis | Prostate + SV + LN</t>
        </is>
      </c>
      <c r="K76" s="14" t="n"/>
      <c r="L76" t="inlineStr">
        <is>
          <t>Existing (v2)</t>
        </is>
      </c>
    </row>
    <row r="77" ht="28.5" customHeight="1">
      <c r="A77" s="14" t="inlineStr">
        <is>
          <t>Treatment_Entry</t>
        </is>
      </c>
      <c r="B77" s="14" t="inlineStr">
        <is>
          <t>Radiotherapy Plan</t>
        </is>
      </c>
      <c r="C77" s="14" t="inlineStr">
        <is>
          <t>dose_fractionation</t>
        </is>
      </c>
      <c r="D77" s="14" t="inlineStr">
        <is>
          <t>Dose / Fractionation</t>
        </is>
      </c>
      <c r="E77" s="14" t="inlineStr">
        <is>
          <t>dropdown</t>
        </is>
      </c>
      <c r="F77" s="14" t="inlineStr">
        <is>
          <t>Single column</t>
        </is>
      </c>
      <c r="G77" s="14" t="inlineStr">
        <is>
          <t>categorical</t>
        </is>
      </c>
      <c r="H77" s="14" t="inlineStr">
        <is>
          <t>No</t>
        </is>
      </c>
      <c r="I77" s="14" t="inlineStr">
        <is>
          <t>No</t>
        </is>
      </c>
      <c r="J77" s="14" t="inlineStr">
        <is>
          <t>60 Gy / 20 fx (moderate hypofractionation) | 78 Gy / 39 fx (conventional) | 36.25 Gy / 5 fx (SBRT) | Other / to be defined</t>
        </is>
      </c>
      <c r="K77" s="14" t="n"/>
      <c r="L77" t="inlineStr">
        <is>
          <t>Existing (v2)</t>
        </is>
      </c>
    </row>
    <row r="78" ht="28.5" customHeight="1">
      <c r="A78" s="14" t="inlineStr">
        <is>
          <t>Treatment_Entry</t>
        </is>
      </c>
      <c r="B78" s="14" t="inlineStr">
        <is>
          <t>Radiotherapy Plan</t>
        </is>
      </c>
      <c r="C78" s="14" t="inlineStr">
        <is>
          <t>rt_facility</t>
        </is>
      </c>
      <c r="D78" s="14" t="inlineStr">
        <is>
          <t>RT Facility</t>
        </is>
      </c>
      <c r="E78" s="14" t="inlineStr">
        <is>
          <t>dropdown</t>
        </is>
      </c>
      <c r="F78" s="14" t="inlineStr">
        <is>
          <t>Single column</t>
        </is>
      </c>
      <c r="G78" s="14" t="inlineStr">
        <is>
          <t>categorical</t>
        </is>
      </c>
      <c r="H78" s="14" t="inlineStr">
        <is>
          <t>No</t>
        </is>
      </c>
      <c r="I78" s="14" t="inlineStr">
        <is>
          <t>No</t>
        </is>
      </c>
      <c r="J78" s="14" t="inlineStr">
        <is>
          <t>AIIMS New Delhi | Tata Memorial Centre | RGCI Delhi | Max Cancer Centre | Fortis | Govt. Regional Cancer Centre</t>
        </is>
      </c>
      <c r="K78" s="14" t="n"/>
      <c r="L78" t="inlineStr">
        <is>
          <t>Existing (v2)</t>
        </is>
      </c>
    </row>
    <row r="79">
      <c r="A79" s="14" t="inlineStr">
        <is>
          <t>Treatment_Entry</t>
        </is>
      </c>
      <c r="B79" s="14" t="inlineStr">
        <is>
          <t>Radiotherapy Plan</t>
        </is>
      </c>
      <c r="C79" s="14" t="inlineStr">
        <is>
          <t>planned_rt_start_date</t>
        </is>
      </c>
      <c r="D79" s="14" t="inlineStr">
        <is>
          <t>Planned RT Start Date</t>
        </is>
      </c>
      <c r="E79" s="14" t="inlineStr">
        <is>
          <t>date</t>
        </is>
      </c>
      <c r="F79" s="14" t="inlineStr">
        <is>
          <t>Single column</t>
        </is>
      </c>
      <c r="G79" s="14" t="inlineStr">
        <is>
          <t>date</t>
        </is>
      </c>
      <c r="H79" s="14" t="inlineStr">
        <is>
          <t>No</t>
        </is>
      </c>
      <c r="I79" s="14" t="inlineStr">
        <is>
          <t>No</t>
        </is>
      </c>
      <c r="J79" s="14" t="inlineStr">
        <is>
          <t>yyyy-mm-dd</t>
        </is>
      </c>
      <c r="K79" s="14" t="n"/>
      <c r="L79" t="inlineStr">
        <is>
          <t>Existing (v2)</t>
        </is>
      </c>
    </row>
    <row r="80">
      <c r="A80" s="14" t="inlineStr">
        <is>
          <t>Treatment_Entry</t>
        </is>
      </c>
      <c r="B80" s="14" t="inlineStr">
        <is>
          <t>Radiotherapy Plan</t>
        </is>
      </c>
      <c r="C80" s="14" t="inlineStr">
        <is>
          <t>rt_completion_date</t>
        </is>
      </c>
      <c r="D80" s="14" t="inlineStr">
        <is>
          <t>RT Completion Date</t>
        </is>
      </c>
      <c r="E80" s="14" t="inlineStr">
        <is>
          <t>date</t>
        </is>
      </c>
      <c r="F80" s="14" t="inlineStr">
        <is>
          <t>Single column</t>
        </is>
      </c>
      <c r="G80" s="14" t="inlineStr">
        <is>
          <t>date</t>
        </is>
      </c>
      <c r="H80" s="14" t="inlineStr">
        <is>
          <t>No</t>
        </is>
      </c>
      <c r="I80" s="14" t="inlineStr">
        <is>
          <t>No</t>
        </is>
      </c>
      <c r="J80" s="14" t="inlineStr">
        <is>
          <t>yyyy-mm-dd</t>
        </is>
      </c>
      <c r="K80" s="14" t="n"/>
      <c r="L80" t="inlineStr">
        <is>
          <t>Existing (v2)</t>
        </is>
      </c>
    </row>
    <row r="81" ht="28.5" customHeight="1">
      <c r="A81" s="14" t="inlineStr">
        <is>
          <t>Treatment_Entry</t>
        </is>
      </c>
      <c r="B81" s="14" t="inlineStr">
        <is>
          <t>Radiotherapy Plan</t>
        </is>
      </c>
      <c r="C81" s="14" t="inlineStr">
        <is>
          <t>cghs_preauth_status</t>
        </is>
      </c>
      <c r="D81" s="14" t="inlineStr">
        <is>
          <t>CGHS Pre-auth Status</t>
        </is>
      </c>
      <c r="E81" s="14" t="inlineStr">
        <is>
          <t>dropdown</t>
        </is>
      </c>
      <c r="F81" s="14" t="inlineStr">
        <is>
          <t>Single column</t>
        </is>
      </c>
      <c r="G81" s="14" t="inlineStr">
        <is>
          <t>categorical</t>
        </is>
      </c>
      <c r="H81" s="14" t="inlineStr">
        <is>
          <t>No</t>
        </is>
      </c>
      <c r="I81" s="14" t="inlineStr">
        <is>
          <t>No</t>
        </is>
      </c>
      <c r="J81" s="14" t="inlineStr">
        <is>
          <t>Not required | Not initiated | Pending | Approved | Rejected</t>
        </is>
      </c>
      <c r="K81" s="14" t="inlineStr">
        <is>
          <t>Tracks pending approvals behind the treatment dashboard access views.</t>
        </is>
      </c>
      <c r="L81" t="inlineStr">
        <is>
          <t>Existing (v2)</t>
        </is>
      </c>
    </row>
    <row r="82">
      <c r="A82" s="14" t="inlineStr">
        <is>
          <t>Treatment_Entry</t>
        </is>
      </c>
      <c r="B82" s="14" t="inlineStr">
        <is>
          <t>Radiotherapy Plan</t>
        </is>
      </c>
      <c r="C82" s="14" t="inlineStr">
        <is>
          <t>cghs_request_date</t>
        </is>
      </c>
      <c r="D82" s="14" t="inlineStr">
        <is>
          <t>CGHS Request Date</t>
        </is>
      </c>
      <c r="E82" s="14" t="inlineStr">
        <is>
          <t>date</t>
        </is>
      </c>
      <c r="F82" s="14" t="inlineStr">
        <is>
          <t>Single column</t>
        </is>
      </c>
      <c r="G82" s="14" t="inlineStr">
        <is>
          <t>date</t>
        </is>
      </c>
      <c r="H82" s="14" t="inlineStr">
        <is>
          <t>No</t>
        </is>
      </c>
      <c r="I82" s="14" t="inlineStr">
        <is>
          <t>No</t>
        </is>
      </c>
      <c r="J82" s="14" t="inlineStr">
        <is>
          <t>yyyy-mm-dd</t>
        </is>
      </c>
      <c r="K82" s="14" t="n"/>
      <c r="L82" t="inlineStr">
        <is>
          <t>Existing (v2)</t>
        </is>
      </c>
    </row>
    <row r="83">
      <c r="A83" s="14" t="inlineStr">
        <is>
          <t>Treatment_Entry</t>
        </is>
      </c>
      <c r="B83" s="14" t="inlineStr">
        <is>
          <t>Radiotherapy Plan</t>
        </is>
      </c>
      <c r="C83" s="14" t="inlineStr">
        <is>
          <t>cghs_approval_date</t>
        </is>
      </c>
      <c r="D83" s="14" t="inlineStr">
        <is>
          <t>CGHS Approval Date</t>
        </is>
      </c>
      <c r="E83" s="14" t="inlineStr">
        <is>
          <t>date</t>
        </is>
      </c>
      <c r="F83" s="14" t="inlineStr">
        <is>
          <t>Single column</t>
        </is>
      </c>
      <c r="G83" s="14" t="inlineStr">
        <is>
          <t>date</t>
        </is>
      </c>
      <c r="H83" s="14" t="inlineStr">
        <is>
          <t>No</t>
        </is>
      </c>
      <c r="I83" s="14" t="inlineStr">
        <is>
          <t>No</t>
        </is>
      </c>
      <c r="J83" s="14" t="inlineStr">
        <is>
          <t>yyyy-mm-dd</t>
        </is>
      </c>
      <c r="K83" s="14" t="n"/>
      <c r="L83" t="inlineStr">
        <is>
          <t>Existing (v2)</t>
        </is>
      </c>
    </row>
    <row r="84" ht="42.75" customHeight="1">
      <c r="A84" s="14" t="inlineStr">
        <is>
          <t>Treatment_Entry</t>
        </is>
      </c>
      <c r="B84" s="14" t="inlineStr">
        <is>
          <t>Bone Health &amp; Supportive Care</t>
        </is>
      </c>
      <c r="C84" s="14" t="inlineStr">
        <is>
          <t>bone_protection_therapy</t>
        </is>
      </c>
      <c r="D84" s="14" t="inlineStr">
        <is>
          <t>Bone Protection Therapy</t>
        </is>
      </c>
      <c r="E84" s="14" t="inlineStr">
        <is>
          <t>dropdown</t>
        </is>
      </c>
      <c r="F84" s="14" t="inlineStr">
        <is>
          <t>Single column</t>
        </is>
      </c>
      <c r="G84" s="14" t="inlineStr">
        <is>
          <t>categorical</t>
        </is>
      </c>
      <c r="H84" s="14" t="inlineStr">
        <is>
          <t>Yes</t>
        </is>
      </c>
      <c r="I84" s="14" t="inlineStr">
        <is>
          <t>No</t>
        </is>
      </c>
      <c r="J84" s="14" t="inlineStr">
        <is>
          <t>Not started | Zoledronic acid 4 mg IV q3m | Denosumab 120 mg SC q4w | Denosumab 60 mg SC q6m (osteoporosis) | Not indicated</t>
        </is>
      </c>
      <c r="K84" s="14" t="inlineStr">
        <is>
          <t>bp-s</t>
        </is>
      </c>
      <c r="L84" t="inlineStr">
        <is>
          <t>Existing (v2)</t>
        </is>
      </c>
    </row>
    <row r="85" ht="28.5" customHeight="1">
      <c r="A85" s="14" t="inlineStr">
        <is>
          <t>Treatment_Entry</t>
        </is>
      </c>
      <c r="B85" s="14" t="inlineStr">
        <is>
          <t>Bone Health &amp; Supportive Care</t>
        </is>
      </c>
      <c r="C85" s="14" t="inlineStr">
        <is>
          <t>calcium_vitamin_d</t>
        </is>
      </c>
      <c r="D85" s="14" t="inlineStr">
        <is>
          <t>Calcium &amp; Vitamin D</t>
        </is>
      </c>
      <c r="E85" s="14" t="inlineStr">
        <is>
          <t>dropdown</t>
        </is>
      </c>
      <c r="F85" s="14" t="inlineStr">
        <is>
          <t>Single column</t>
        </is>
      </c>
      <c r="G85" s="14" t="inlineStr">
        <is>
          <t>categorical</t>
        </is>
      </c>
      <c r="H85" s="14" t="inlineStr">
        <is>
          <t>No</t>
        </is>
      </c>
      <c r="I85" s="14" t="inlineStr">
        <is>
          <t>No</t>
        </is>
      </c>
      <c r="J85" s="14" t="inlineStr">
        <is>
          <t>Not prescribed | Calcium 500 mg + Vit D3 1000 IU OD | Calcium 1000 mg + Vit D3 OD</t>
        </is>
      </c>
      <c r="K85" s="14" t="n"/>
      <c r="L85" t="inlineStr">
        <is>
          <t>Existing (v2)</t>
        </is>
      </c>
    </row>
    <row r="86" ht="28.5" customHeight="1">
      <c r="A86" s="14" t="inlineStr">
        <is>
          <t>Treatment_Entry</t>
        </is>
      </c>
      <c r="B86" s="14" t="inlineStr">
        <is>
          <t>Bone Health &amp; Supportive Care</t>
        </is>
      </c>
      <c r="C86" s="14" t="inlineStr">
        <is>
          <t>next_follow_up_psa_date</t>
        </is>
      </c>
      <c r="D86" s="14" t="inlineStr">
        <is>
          <t>Next Follow-up PSA Date</t>
        </is>
      </c>
      <c r="E86" s="14" t="inlineStr">
        <is>
          <t>date</t>
        </is>
      </c>
      <c r="F86" s="14" t="inlineStr">
        <is>
          <t>Single column</t>
        </is>
      </c>
      <c r="G86" s="14" t="inlineStr">
        <is>
          <t>date</t>
        </is>
      </c>
      <c r="H86" s="14" t="inlineStr">
        <is>
          <t>No</t>
        </is>
      </c>
      <c r="I86" s="14" t="inlineStr">
        <is>
          <t>No</t>
        </is>
      </c>
      <c r="J86" s="14" t="inlineStr">
        <is>
          <t>yyyy-mm-dd</t>
        </is>
      </c>
      <c r="K86" s="14" t="inlineStr">
        <is>
          <t>fup-d</t>
        </is>
      </c>
      <c r="L86" t="inlineStr">
        <is>
          <t>Existing (v2)</t>
        </is>
      </c>
    </row>
    <row r="87" ht="28.5" customHeight="1">
      <c r="A87" s="14" t="inlineStr">
        <is>
          <t>Treatment_Entry</t>
        </is>
      </c>
      <c r="B87" s="14" t="inlineStr">
        <is>
          <t>Bone Health &amp; Supportive Care</t>
        </is>
      </c>
      <c r="C87" s="14" t="inlineStr">
        <is>
          <t>testosterone_monitoring</t>
        </is>
      </c>
      <c r="D87" s="14" t="inlineStr">
        <is>
          <t>Testosterone Monitoring</t>
        </is>
      </c>
      <c r="E87" s="14" t="inlineStr">
        <is>
          <t>dropdown</t>
        </is>
      </c>
      <c r="F87" s="14" t="inlineStr">
        <is>
          <t>Single column</t>
        </is>
      </c>
      <c r="G87" s="14" t="inlineStr">
        <is>
          <t>categorical</t>
        </is>
      </c>
      <c r="H87" s="14" t="inlineStr">
        <is>
          <t>No</t>
        </is>
      </c>
      <c r="I87" s="14" t="inlineStr">
        <is>
          <t>No</t>
        </is>
      </c>
      <c r="J87" s="14" t="inlineStr">
        <is>
          <t>Not checked this cycle | Castrate confirmed (&lt;50 ng/dL) | Non-castrate — action needed</t>
        </is>
      </c>
      <c r="K87" s="14" t="n"/>
      <c r="L87" t="inlineStr">
        <is>
          <t>Existing (v2)</t>
        </is>
      </c>
    </row>
    <row r="88" ht="28.5" customHeight="1">
      <c r="A88" s="14" t="inlineStr">
        <is>
          <t>Treatment_Entry</t>
        </is>
      </c>
      <c r="B88" s="14" t="inlineStr">
        <is>
          <t>Bone Health &amp; Supportive Care</t>
        </is>
      </c>
      <c r="C88" s="14" t="inlineStr">
        <is>
          <t>psychosocial_screening_phq9</t>
        </is>
      </c>
      <c r="D88" s="14" t="inlineStr">
        <is>
          <t>Psychosocial Screening (PHQ-9)</t>
        </is>
      </c>
      <c r="E88" s="14" t="inlineStr">
        <is>
          <t>dropdown</t>
        </is>
      </c>
      <c r="F88" s="14" t="inlineStr">
        <is>
          <t>Single column</t>
        </is>
      </c>
      <c r="G88" s="14" t="inlineStr">
        <is>
          <t>categorical</t>
        </is>
      </c>
      <c r="H88" s="14" t="inlineStr">
        <is>
          <t>No</t>
        </is>
      </c>
      <c r="I88" s="14" t="inlineStr">
        <is>
          <t>No</t>
        </is>
      </c>
      <c r="J88" s="14" t="inlineStr">
        <is>
          <t>Not done | Minimal (0–4) | Mild (5–9) | Moderate (10–14) | Severe (≥15) — refer</t>
        </is>
      </c>
      <c r="K88" s="14" t="n"/>
      <c r="L88" t="inlineStr">
        <is>
          <t>Existing (v2)</t>
        </is>
      </c>
    </row>
    <row r="89" ht="28.5" customHeight="1">
      <c r="A89" s="14" t="inlineStr">
        <is>
          <t>Treatment_Entry</t>
        </is>
      </c>
      <c r="B89" s="14" t="inlineStr">
        <is>
          <t>Bone Health &amp; Supportive Care</t>
        </is>
      </c>
      <c r="C89" s="14" t="inlineStr">
        <is>
          <t>nutritional_assessment</t>
        </is>
      </c>
      <c r="D89" s="14" t="inlineStr">
        <is>
          <t>Nutritional Assessment</t>
        </is>
      </c>
      <c r="E89" s="14" t="inlineStr">
        <is>
          <t>dropdown</t>
        </is>
      </c>
      <c r="F89" s="14" t="inlineStr">
        <is>
          <t>Single column</t>
        </is>
      </c>
      <c r="G89" s="14" t="inlineStr">
        <is>
          <t>categorical</t>
        </is>
      </c>
      <c r="H89" s="14" t="inlineStr">
        <is>
          <t>No</t>
        </is>
      </c>
      <c r="I89" s="14" t="inlineStr">
        <is>
          <t>No</t>
        </is>
      </c>
      <c r="J89" s="14" t="inlineStr">
        <is>
          <t>Not done | Normal | At risk — dietitian referral made | Malnourished</t>
        </is>
      </c>
      <c r="K89" s="14" t="n"/>
      <c r="L89" t="inlineStr">
        <is>
          <t>Existing (v2)</t>
        </is>
      </c>
    </row>
    <row r="90" ht="28.5" customHeight="1">
      <c r="A90" s="14" t="inlineStr">
        <is>
          <t>Treatment_Entry</t>
        </is>
      </c>
      <c r="B90" s="14" t="inlineStr">
        <is>
          <t>Safety &amp; Tolerability</t>
        </is>
      </c>
      <c r="C90" s="14" t="inlineStr">
        <is>
          <t>safety_side_effects</t>
        </is>
      </c>
      <c r="D90" s="14" t="inlineStr">
        <is>
          <t>Safety / Side Effects Observed</t>
        </is>
      </c>
      <c r="E90" s="14" t="inlineStr">
        <is>
          <t>text</t>
        </is>
      </c>
      <c r="F90" s="14" t="inlineStr">
        <is>
          <t>Single column</t>
        </is>
      </c>
      <c r="G90" s="14" t="inlineStr">
        <is>
          <t>text</t>
        </is>
      </c>
      <c r="H90" s="14" t="inlineStr">
        <is>
          <t>No</t>
        </is>
      </c>
      <c r="I90" s="14" t="inlineStr">
        <is>
          <t>No</t>
        </is>
      </c>
      <c r="J90" s="14" t="n"/>
      <c r="K90" s="14" t="inlineStr">
        <is>
          <t>Capture active toxicity, intolerance, or clinically relevant side effects affecting the treatment pathway.</t>
        </is>
      </c>
      <c r="L90" t="inlineStr">
        <is>
          <t>Existing (v2)</t>
        </is>
      </c>
    </row>
    <row r="91">
      <c r="A91" s="14" t="inlineStr">
        <is>
          <t>Outcomes_Entry</t>
        </is>
      </c>
      <c r="B91" s="14" t="inlineStr">
        <is>
          <t>Workbook Linkage</t>
        </is>
      </c>
      <c r="C91" s="14" t="inlineStr">
        <is>
          <t>patient_code</t>
        </is>
      </c>
      <c r="D91" s="14" t="inlineStr">
        <is>
          <t>Unique Patient Code</t>
        </is>
      </c>
      <c r="E91" s="14" t="inlineStr">
        <is>
          <t>text</t>
        </is>
      </c>
      <c r="F91" s="14" t="inlineStr">
        <is>
          <t>Single column</t>
        </is>
      </c>
      <c r="G91" s="14" t="inlineStr">
        <is>
          <t>text</t>
        </is>
      </c>
      <c r="H91" s="14" t="inlineStr">
        <is>
          <t>No</t>
        </is>
      </c>
      <c r="I91" s="14" t="inlineStr">
        <is>
          <t>Yes</t>
        </is>
      </c>
      <c r="J91" s="14" t="n"/>
      <c r="K91" s="14" t="inlineStr">
        <is>
          <t>Match the Demographics_Entry unique patient code.</t>
        </is>
      </c>
      <c r="L91" t="inlineStr">
        <is>
          <t>Existing (v2)</t>
        </is>
      </c>
    </row>
    <row r="92">
      <c r="A92" s="14" t="inlineStr">
        <is>
          <t>Outcomes_Entry</t>
        </is>
      </c>
      <c r="B92" s="14" t="inlineStr">
        <is>
          <t>Follow-up Status</t>
        </is>
      </c>
      <c r="C92" s="14" t="inlineStr">
        <is>
          <t>last_follow_up_date</t>
        </is>
      </c>
      <c r="D92" s="14" t="inlineStr">
        <is>
          <t>Last Follow-up Date</t>
        </is>
      </c>
      <c r="E92" s="14" t="inlineStr">
        <is>
          <t>date</t>
        </is>
      </c>
      <c r="F92" s="14" t="inlineStr">
        <is>
          <t>Single column</t>
        </is>
      </c>
      <c r="G92" s="14" t="inlineStr">
        <is>
          <t>date</t>
        </is>
      </c>
      <c r="H92" s="14" t="inlineStr">
        <is>
          <t>No</t>
        </is>
      </c>
      <c r="I92" s="14" t="inlineStr">
        <is>
          <t>No</t>
        </is>
      </c>
      <c r="J92" s="14" t="inlineStr">
        <is>
          <t>yyyy-mm-dd</t>
        </is>
      </c>
      <c r="K92" s="14" t="n"/>
      <c r="L92" t="inlineStr">
        <is>
          <t>Existing (v2)</t>
        </is>
      </c>
    </row>
    <row r="93" ht="42.75" customHeight="1">
      <c r="A93" s="14" t="inlineStr">
        <is>
          <t>Outcomes_Entry</t>
        </is>
      </c>
      <c r="B93" s="14" t="inlineStr">
        <is>
          <t>Follow-up Status</t>
        </is>
      </c>
      <c r="C93" s="14" t="inlineStr">
        <is>
          <t>best_response</t>
        </is>
      </c>
      <c r="D93" s="14" t="inlineStr">
        <is>
          <t>Best Response</t>
        </is>
      </c>
      <c r="E93" s="14" t="inlineStr">
        <is>
          <t>dropdown</t>
        </is>
      </c>
      <c r="F93" s="14" t="inlineStr">
        <is>
          <t>Single column</t>
        </is>
      </c>
      <c r="G93" s="14" t="inlineStr">
        <is>
          <t>categorical</t>
        </is>
      </c>
      <c r="H93" s="14" t="inlineStr">
        <is>
          <t>No</t>
        </is>
      </c>
      <c r="I93" s="14" t="inlineStr">
        <is>
          <t>No</t>
        </is>
      </c>
      <c r="J93" s="14" t="inlineStr">
        <is>
          <t>Not yet assessable | PSA response | Stable disease | Biochemical recurrence | Radiological progression | Clinical progression</t>
        </is>
      </c>
      <c r="K93" s="14" t="n"/>
      <c r="L93" t="inlineStr">
        <is>
          <t>Existing (v2)</t>
        </is>
      </c>
    </row>
    <row r="94">
      <c r="A94" s="14" t="inlineStr">
        <is>
          <t>Outcomes_Entry</t>
        </is>
      </c>
      <c r="B94" s="14" t="inlineStr">
        <is>
          <t>PSA Outcome Markers</t>
        </is>
      </c>
      <c r="C94" s="14" t="inlineStr">
        <is>
          <t>psa_nadir_value</t>
        </is>
      </c>
      <c r="D94" s="14" t="inlineStr">
        <is>
          <t>PSA Nadir Value</t>
        </is>
      </c>
      <c r="E94" s="14" t="inlineStr">
        <is>
          <t>number</t>
        </is>
      </c>
      <c r="F94" s="14" t="inlineStr">
        <is>
          <t>Single column</t>
        </is>
      </c>
      <c r="G94" s="14" t="inlineStr">
        <is>
          <t>decimal number</t>
        </is>
      </c>
      <c r="H94" s="14" t="inlineStr">
        <is>
          <t>No</t>
        </is>
      </c>
      <c r="I94" s="14" t="inlineStr">
        <is>
          <t>No</t>
        </is>
      </c>
      <c r="J94" s="14" t="inlineStr">
        <is>
          <t>ng/mL</t>
        </is>
      </c>
      <c r="K94" s="14" t="n"/>
      <c r="L94" t="inlineStr">
        <is>
          <t>Existing (v2)</t>
        </is>
      </c>
    </row>
    <row r="95">
      <c r="A95" s="14" t="inlineStr">
        <is>
          <t>Outcomes_Entry</t>
        </is>
      </c>
      <c r="B95" s="14" t="inlineStr">
        <is>
          <t>PSA Outcome Markers</t>
        </is>
      </c>
      <c r="C95" s="14" t="inlineStr">
        <is>
          <t>psa_nadir_date</t>
        </is>
      </c>
      <c r="D95" s="14" t="inlineStr">
        <is>
          <t>PSA Nadir Date</t>
        </is>
      </c>
      <c r="E95" s="14" t="inlineStr">
        <is>
          <t>date</t>
        </is>
      </c>
      <c r="F95" s="14" t="inlineStr">
        <is>
          <t>Single column</t>
        </is>
      </c>
      <c r="G95" s="14" t="inlineStr">
        <is>
          <t>date</t>
        </is>
      </c>
      <c r="H95" s="14" t="inlineStr">
        <is>
          <t>No</t>
        </is>
      </c>
      <c r="I95" s="14" t="inlineStr">
        <is>
          <t>No</t>
        </is>
      </c>
      <c r="J95" s="14" t="inlineStr">
        <is>
          <t>yyyy-mm-dd</t>
        </is>
      </c>
      <c r="K95" s="14" t="n"/>
      <c r="L95" t="inlineStr">
        <is>
          <t>Existing (v2)</t>
        </is>
      </c>
    </row>
    <row r="96" ht="28.5" customHeight="1">
      <c r="A96" s="14" t="inlineStr">
        <is>
          <t>Outcomes_Entry</t>
        </is>
      </c>
      <c r="B96" s="14" t="inlineStr">
        <is>
          <t>PSA Outcome Markers</t>
        </is>
      </c>
      <c r="C96" s="14" t="inlineStr">
        <is>
          <t>psa_doubling_time_months</t>
        </is>
      </c>
      <c r="D96" s="14" t="inlineStr">
        <is>
          <t>PSA Doubling Time</t>
        </is>
      </c>
      <c r="E96" s="14" t="inlineStr">
        <is>
          <t>number</t>
        </is>
      </c>
      <c r="F96" s="14" t="inlineStr">
        <is>
          <t>Single column</t>
        </is>
      </c>
      <c r="G96" s="14" t="inlineStr">
        <is>
          <t>decimal number</t>
        </is>
      </c>
      <c r="H96" s="14" t="inlineStr">
        <is>
          <t>No</t>
        </is>
      </c>
      <c r="I96" s="14" t="inlineStr">
        <is>
          <t>No</t>
        </is>
      </c>
      <c r="J96" s="14" t="inlineStr">
        <is>
          <t>Months</t>
        </is>
      </c>
      <c r="K96" s="14" t="n"/>
      <c r="L96" t="inlineStr">
        <is>
          <t>Existing (v2)</t>
        </is>
      </c>
    </row>
    <row r="97" ht="28.5" customHeight="1">
      <c r="A97" s="14" t="inlineStr">
        <is>
          <t>Outcomes_Entry</t>
        </is>
      </c>
      <c r="B97" s="14" t="inlineStr">
        <is>
          <t>Disease Status</t>
        </is>
      </c>
      <c r="C97" s="14" t="inlineStr">
        <is>
          <t>biochemical_recurrence_status</t>
        </is>
      </c>
      <c r="D97" s="14" t="inlineStr">
        <is>
          <t>Biochemical Recurrence Status</t>
        </is>
      </c>
      <c r="E97" s="14" t="inlineStr">
        <is>
          <t>dropdown</t>
        </is>
      </c>
      <c r="F97" s="14" t="inlineStr">
        <is>
          <t>Single column</t>
        </is>
      </c>
      <c r="G97" s="14" t="inlineStr">
        <is>
          <t>categorical</t>
        </is>
      </c>
      <c r="H97" s="14" t="inlineStr">
        <is>
          <t>No</t>
        </is>
      </c>
      <c r="I97" s="14" t="inlineStr">
        <is>
          <t>No</t>
        </is>
      </c>
      <c r="J97" s="14" t="inlineStr">
        <is>
          <t>Not assessed | No recurrence documented | Biochemical recurrence</t>
        </is>
      </c>
      <c r="K97" s="14" t="n"/>
      <c r="L97" t="inlineStr">
        <is>
          <t>Existing (v2)</t>
        </is>
      </c>
    </row>
    <row r="98" ht="28.5" customHeight="1">
      <c r="A98" s="14" t="inlineStr">
        <is>
          <t>Outcomes_Entry</t>
        </is>
      </c>
      <c r="B98" s="14" t="inlineStr">
        <is>
          <t>Disease Status</t>
        </is>
      </c>
      <c r="C98" s="14" t="inlineStr">
        <is>
          <t>biochemical_recurrence_date</t>
        </is>
      </c>
      <c r="D98" s="14" t="inlineStr">
        <is>
          <t>Biochemical Recurrence Date</t>
        </is>
      </c>
      <c r="E98" s="14" t="inlineStr">
        <is>
          <t>date</t>
        </is>
      </c>
      <c r="F98" s="14" t="inlineStr">
        <is>
          <t>Single column</t>
        </is>
      </c>
      <c r="G98" s="14" t="inlineStr">
        <is>
          <t>date</t>
        </is>
      </c>
      <c r="H98" s="14" t="inlineStr">
        <is>
          <t>No</t>
        </is>
      </c>
      <c r="I98" s="14" t="inlineStr">
        <is>
          <t>No</t>
        </is>
      </c>
      <c r="J98" s="14" t="inlineStr">
        <is>
          <t>yyyy-mm-dd</t>
        </is>
      </c>
      <c r="K98" s="14" t="n"/>
      <c r="L98" t="inlineStr">
        <is>
          <t>Existing (v2)</t>
        </is>
      </c>
    </row>
    <row r="99" ht="28.5" customHeight="1">
      <c r="A99" s="14" t="inlineStr">
        <is>
          <t>Outcomes_Entry</t>
        </is>
      </c>
      <c r="B99" s="14" t="inlineStr">
        <is>
          <t>Disease Status</t>
        </is>
      </c>
      <c r="C99" s="14" t="inlineStr">
        <is>
          <t>crpc_progression_status</t>
        </is>
      </c>
      <c r="D99" s="14" t="inlineStr">
        <is>
          <t>CRPC Progression Status</t>
        </is>
      </c>
      <c r="E99" s="14" t="inlineStr">
        <is>
          <t>dropdown</t>
        </is>
      </c>
      <c r="F99" s="14" t="inlineStr">
        <is>
          <t>Single column</t>
        </is>
      </c>
      <c r="G99" s="14" t="inlineStr">
        <is>
          <t>categorical</t>
        </is>
      </c>
      <c r="H99" s="14" t="inlineStr">
        <is>
          <t>No</t>
        </is>
      </c>
      <c r="I99" s="14" t="inlineStr">
        <is>
          <t>No</t>
        </is>
      </c>
      <c r="J99" s="14" t="inlineStr">
        <is>
          <t>No CRPC progression documented | Progressed to CRPC | Suspected progression - workup pending</t>
        </is>
      </c>
      <c r="K99" s="14" t="n"/>
      <c r="L99" t="inlineStr">
        <is>
          <t>Existing (v2)</t>
        </is>
      </c>
    </row>
    <row r="100">
      <c r="A100" s="14" t="inlineStr">
        <is>
          <t>Outcomes_Entry</t>
        </is>
      </c>
      <c r="B100" s="14" t="inlineStr">
        <is>
          <t>Disease Status</t>
        </is>
      </c>
      <c r="C100" s="14" t="inlineStr">
        <is>
          <t>crpc_progression_date</t>
        </is>
      </c>
      <c r="D100" s="14" t="inlineStr">
        <is>
          <t>CRPC Progression Date</t>
        </is>
      </c>
      <c r="E100" s="14" t="inlineStr">
        <is>
          <t>date</t>
        </is>
      </c>
      <c r="F100" s="14" t="inlineStr">
        <is>
          <t>Single column</t>
        </is>
      </c>
      <c r="G100" s="14" t="inlineStr">
        <is>
          <t>date</t>
        </is>
      </c>
      <c r="H100" s="14" t="inlineStr">
        <is>
          <t>No</t>
        </is>
      </c>
      <c r="I100" s="14" t="inlineStr">
        <is>
          <t>No</t>
        </is>
      </c>
      <c r="J100" s="14" t="inlineStr">
        <is>
          <t>yyyy-mm-dd</t>
        </is>
      </c>
      <c r="K100" s="14" t="n"/>
      <c r="L100" t="inlineStr">
        <is>
          <t>Existing (v2)</t>
        </is>
      </c>
    </row>
    <row r="101" ht="42.75" customHeight="1">
      <c r="A101" s="14" t="inlineStr">
        <is>
          <t>Outcomes_Entry</t>
        </is>
      </c>
      <c r="B101" s="14" t="inlineStr">
        <is>
          <t>Disease Status</t>
        </is>
      </c>
      <c r="C101" s="14" t="inlineStr">
        <is>
          <t>rt_outcome_status</t>
        </is>
      </c>
      <c r="D101" s="14" t="inlineStr">
        <is>
          <t>RT Outcome Status</t>
        </is>
      </c>
      <c r="E101" s="14" t="inlineStr">
        <is>
          <t>dropdown</t>
        </is>
      </c>
      <c r="F101" s="14" t="inlineStr">
        <is>
          <t>Single column</t>
        </is>
      </c>
      <c r="G101" s="14" t="inlineStr">
        <is>
          <t>categorical</t>
        </is>
      </c>
      <c r="H101" s="14" t="inlineStr">
        <is>
          <t>No</t>
        </is>
      </c>
      <c r="I101" s="14" t="inlineStr">
        <is>
          <t>No</t>
        </is>
      </c>
      <c r="J101" s="14" t="inlineStr">
        <is>
          <t>Not yet assessed | Complete biochemical response | Partial biochemical response | Stable disease | Biochemical recurrence | Progressive disease</t>
        </is>
      </c>
      <c r="K101" s="14" t="n"/>
      <c r="L101" t="inlineStr">
        <is>
          <t>Existing (v2)</t>
        </is>
      </c>
    </row>
    <row r="102">
      <c r="A102" s="14" t="inlineStr">
        <is>
          <t>PSA_History</t>
        </is>
      </c>
      <c r="B102" s="14" t="inlineStr">
        <is>
          <t>PSA History &amp; Trend</t>
        </is>
      </c>
      <c r="C102" s="14" t="inlineStr">
        <is>
          <t>patient_code</t>
        </is>
      </c>
      <c r="D102" s="14" t="inlineStr">
        <is>
          <t>Unique Patient Code</t>
        </is>
      </c>
      <c r="E102" s="14" t="inlineStr">
        <is>
          <t>text</t>
        </is>
      </c>
      <c r="F102" s="14" t="inlineStr">
        <is>
          <t>Repeating row key</t>
        </is>
      </c>
      <c r="G102" s="14" t="inlineStr">
        <is>
          <t>text</t>
        </is>
      </c>
      <c r="H102" s="14" t="inlineStr">
        <is>
          <t>No</t>
        </is>
      </c>
      <c r="I102" s="14" t="inlineStr">
        <is>
          <t>Yes</t>
        </is>
      </c>
      <c r="J102" s="14" t="n"/>
      <c r="K102" s="14" t="n"/>
      <c r="L102" t="inlineStr">
        <is>
          <t>Existing (v2)</t>
        </is>
      </c>
    </row>
    <row r="103">
      <c r="A103" s="14" t="inlineStr">
        <is>
          <t>PSA_History</t>
        </is>
      </c>
      <c r="B103" s="14" t="inlineStr">
        <is>
          <t>PSA History &amp; Trend</t>
        </is>
      </c>
      <c r="C103" s="14" t="inlineStr">
        <is>
          <t>psa_date</t>
        </is>
      </c>
      <c r="D103" s="14" t="inlineStr">
        <is>
          <t>Date</t>
        </is>
      </c>
      <c r="E103" s="14" t="inlineStr">
        <is>
          <t>date</t>
        </is>
      </c>
      <c r="F103" s="14" t="inlineStr">
        <is>
          <t>Repeating row field</t>
        </is>
      </c>
      <c r="G103" s="14" t="inlineStr">
        <is>
          <t>date</t>
        </is>
      </c>
      <c r="H103" s="14" t="inlineStr">
        <is>
          <t>No</t>
        </is>
      </c>
      <c r="I103" s="14" t="inlineStr">
        <is>
          <t>Yes</t>
        </is>
      </c>
      <c r="J103" s="14" t="inlineStr">
        <is>
          <t>yyyy-mm-dd</t>
        </is>
      </c>
      <c r="K103" s="14" t="n"/>
      <c r="L103" t="inlineStr">
        <is>
          <t>Existing (v2)</t>
        </is>
      </c>
    </row>
    <row r="104">
      <c r="A104" s="14" t="inlineStr">
        <is>
          <t>PSA_History</t>
        </is>
      </c>
      <c r="B104" s="14" t="inlineStr">
        <is>
          <t>PSA History &amp; Trend</t>
        </is>
      </c>
      <c r="C104" s="14" t="inlineStr">
        <is>
          <t>psa_ng_ml</t>
        </is>
      </c>
      <c r="D104" s="14" t="inlineStr">
        <is>
          <t>PSA (ng/mL)</t>
        </is>
      </c>
      <c r="E104" s="14" t="inlineStr">
        <is>
          <t>number</t>
        </is>
      </c>
      <c r="F104" s="14" t="inlineStr">
        <is>
          <t>Repeating row field</t>
        </is>
      </c>
      <c r="G104" s="14" t="inlineStr">
        <is>
          <t>decimal number</t>
        </is>
      </c>
      <c r="H104" s="14" t="inlineStr">
        <is>
          <t>No</t>
        </is>
      </c>
      <c r="I104" s="14" t="inlineStr">
        <is>
          <t>No</t>
        </is>
      </c>
      <c r="J104" s="14" t="inlineStr">
        <is>
          <t>ng/mL</t>
        </is>
      </c>
      <c r="K104" s="14" t="n"/>
      <c r="L104" t="inlineStr">
        <is>
          <t>Existing (v2)</t>
        </is>
      </c>
    </row>
    <row r="105">
      <c r="A105" s="14" t="inlineStr">
        <is>
          <t>PSA_History</t>
        </is>
      </c>
      <c r="B105" s="14" t="inlineStr">
        <is>
          <t>PSA History &amp; Trend</t>
        </is>
      </c>
      <c r="C105" s="14" t="inlineStr">
        <is>
          <t>free_psa_pct</t>
        </is>
      </c>
      <c r="D105" s="14" t="inlineStr">
        <is>
          <t>Free PSA %</t>
        </is>
      </c>
      <c r="E105" s="14" t="inlineStr">
        <is>
          <t>number</t>
        </is>
      </c>
      <c r="F105" s="14" t="inlineStr">
        <is>
          <t>Repeating row field</t>
        </is>
      </c>
      <c r="G105" s="14" t="inlineStr">
        <is>
          <t>decimal number</t>
        </is>
      </c>
      <c r="H105" s="14" t="inlineStr">
        <is>
          <t>No</t>
        </is>
      </c>
      <c r="I105" s="14" t="inlineStr">
        <is>
          <t>No</t>
        </is>
      </c>
      <c r="J105" s="14" t="inlineStr">
        <is>
          <t>Whole-number percent, e.g. 12</t>
        </is>
      </c>
      <c r="K105" s="14" t="n"/>
      <c r="L105" t="inlineStr">
        <is>
          <t>Existing (v2)</t>
        </is>
      </c>
    </row>
    <row r="106">
      <c r="A106" s="14" t="inlineStr">
        <is>
          <t>PSA_History</t>
        </is>
      </c>
      <c r="B106" s="14" t="inlineStr">
        <is>
          <t>PSA History &amp; Trend</t>
        </is>
      </c>
      <c r="C106" s="14" t="inlineStr">
        <is>
          <t>psa_density</t>
        </is>
      </c>
      <c r="D106" s="14" t="inlineStr">
        <is>
          <t>PSA Density</t>
        </is>
      </c>
      <c r="E106" s="14" t="inlineStr">
        <is>
          <t>text</t>
        </is>
      </c>
      <c r="F106" s="14" t="inlineStr">
        <is>
          <t>Repeating row field</t>
        </is>
      </c>
      <c r="G106" s="14" t="inlineStr">
        <is>
          <t>decimal number</t>
        </is>
      </c>
      <c r="H106" s="14" t="inlineStr">
        <is>
          <t>No</t>
        </is>
      </c>
      <c r="I106" s="14" t="inlineStr">
        <is>
          <t>No</t>
        </is>
      </c>
      <c r="J106" s="14" t="n"/>
      <c r="K106" s="14" t="n"/>
      <c r="L106" t="inlineStr">
        <is>
          <t>Existing (v2)</t>
        </is>
      </c>
    </row>
    <row r="107">
      <c r="A107" s="14" t="inlineStr">
        <is>
          <t>PSA_History</t>
        </is>
      </c>
      <c r="B107" s="14" t="inlineStr">
        <is>
          <t>PSA History &amp; Trend</t>
        </is>
      </c>
      <c r="C107" s="14" t="inlineStr">
        <is>
          <t>context_remarks</t>
        </is>
      </c>
      <c r="D107" s="14" t="inlineStr">
        <is>
          <t>Context / Remarks</t>
        </is>
      </c>
      <c r="E107" s="14" t="inlineStr">
        <is>
          <t>text</t>
        </is>
      </c>
      <c r="F107" s="14" t="inlineStr">
        <is>
          <t>Repeating row field</t>
        </is>
      </c>
      <c r="G107" s="14" t="inlineStr">
        <is>
          <t>text</t>
        </is>
      </c>
      <c r="H107" s="14" t="inlineStr">
        <is>
          <t>No</t>
        </is>
      </c>
      <c r="I107" s="14" t="inlineStr">
        <is>
          <t>No</t>
        </is>
      </c>
      <c r="J107" s="14" t="n"/>
      <c r="K107" s="14" t="n"/>
      <c r="L107" t="inlineStr">
        <is>
          <t>Existing (v2)</t>
        </is>
      </c>
    </row>
    <row r="108">
      <c r="A108" s="14" t="inlineStr">
        <is>
          <t>Journey_Events</t>
        </is>
      </c>
      <c r="B108" s="14" t="inlineStr">
        <is>
          <t>Patient Journey</t>
        </is>
      </c>
      <c r="C108" s="14" t="inlineStr">
        <is>
          <t>patient_code</t>
        </is>
      </c>
      <c r="D108" s="14" t="inlineStr">
        <is>
          <t>Unique Patient Code</t>
        </is>
      </c>
      <c r="E108" s="14" t="inlineStr">
        <is>
          <t>text</t>
        </is>
      </c>
      <c r="F108" s="14" t="inlineStr">
        <is>
          <t>Repeating row key</t>
        </is>
      </c>
      <c r="G108" s="14" t="inlineStr">
        <is>
          <t>text</t>
        </is>
      </c>
      <c r="H108" s="14" t="inlineStr">
        <is>
          <t>No</t>
        </is>
      </c>
      <c r="I108" s="14" t="inlineStr">
        <is>
          <t>Yes</t>
        </is>
      </c>
      <c r="J108" s="14" t="n"/>
      <c r="K108" s="14" t="n"/>
      <c r="L108" t="inlineStr">
        <is>
          <t>Existing (v2)</t>
        </is>
      </c>
    </row>
    <row r="109" ht="42.75" customHeight="1">
      <c r="A109" s="14" t="inlineStr">
        <is>
          <t>Journey_Events</t>
        </is>
      </c>
      <c r="B109" s="14" t="inlineStr">
        <is>
          <t>Add New Journey Event</t>
        </is>
      </c>
      <c r="C109" s="14" t="inlineStr">
        <is>
          <t>event_type</t>
        </is>
      </c>
      <c r="D109" s="14" t="inlineStr">
        <is>
          <t>Event Type</t>
        </is>
      </c>
      <c r="E109" s="14" t="inlineStr">
        <is>
          <t>dropdown</t>
        </is>
      </c>
      <c r="F109" s="14" t="inlineStr">
        <is>
          <t>Repeating row field</t>
        </is>
      </c>
      <c r="G109" s="14" t="inlineStr">
        <is>
          <t>categorical</t>
        </is>
      </c>
      <c r="H109" s="14" t="inlineStr">
        <is>
          <t>No</t>
        </is>
      </c>
      <c r="I109" s="14" t="inlineStr">
        <is>
          <t>No</t>
        </is>
      </c>
      <c r="J109" s="14" t="inlineStr">
        <is>
          <t>Outpatient Visit | Lab / PSA | Imaging | Biopsy / Procedure | Treatment Initiation | Treatment Change | Hospital Admission | MDT Review | Adverse Event | Palliative Referral</t>
        </is>
      </c>
      <c r="K109" s="14" t="n"/>
      <c r="L109" t="inlineStr">
        <is>
          <t>Existing (v2)</t>
        </is>
      </c>
    </row>
    <row r="110">
      <c r="A110" s="14" t="inlineStr">
        <is>
          <t>Journey_Events</t>
        </is>
      </c>
      <c r="B110" s="14" t="inlineStr">
        <is>
          <t>Add New Journey Event</t>
        </is>
      </c>
      <c r="C110" s="14" t="inlineStr">
        <is>
          <t>event_date</t>
        </is>
      </c>
      <c r="D110" s="14" t="inlineStr">
        <is>
          <t>Event Date</t>
        </is>
      </c>
      <c r="E110" s="14" t="inlineStr">
        <is>
          <t>date</t>
        </is>
      </c>
      <c r="F110" s="14" t="inlineStr">
        <is>
          <t>Repeating row field</t>
        </is>
      </c>
      <c r="G110" s="14" t="inlineStr">
        <is>
          <t>date</t>
        </is>
      </c>
      <c r="H110" s="14" t="inlineStr">
        <is>
          <t>No</t>
        </is>
      </c>
      <c r="I110" s="14" t="inlineStr">
        <is>
          <t>No</t>
        </is>
      </c>
      <c r="J110" s="14" t="inlineStr">
        <is>
          <t>yyyy-mm-dd</t>
        </is>
      </c>
      <c r="K110" s="14" t="n"/>
      <c r="L110" t="inlineStr">
        <is>
          <t>Existing (v2)</t>
        </is>
      </c>
    </row>
    <row r="111">
      <c r="A111" s="14" t="inlineStr">
        <is>
          <t>Journey_Events</t>
        </is>
      </c>
      <c r="B111" s="14" t="inlineStr">
        <is>
          <t>Add New Journey Event</t>
        </is>
      </c>
      <c r="C111" s="14" t="inlineStr">
        <is>
          <t>event_notes</t>
        </is>
      </c>
      <c r="D111" s="14" t="inlineStr">
        <is>
          <t>Notes</t>
        </is>
      </c>
      <c r="E111" s="14" t="inlineStr">
        <is>
          <t>text</t>
        </is>
      </c>
      <c r="F111" s="14" t="inlineStr">
        <is>
          <t>Repeating row field</t>
        </is>
      </c>
      <c r="G111" s="14" t="inlineStr">
        <is>
          <t>text</t>
        </is>
      </c>
      <c r="H111" s="14" t="inlineStr">
        <is>
          <t>No</t>
        </is>
      </c>
      <c r="I111" s="14" t="inlineStr">
        <is>
          <t>No</t>
        </is>
      </c>
      <c r="J111" s="14" t="n"/>
      <c r="K111" s="14" t="inlineStr">
        <is>
          <t>UI placeholder: Brief description.</t>
        </is>
      </c>
      <c r="L111" t="inlineStr">
        <is>
          <t>Existing (v2)</t>
        </is>
      </c>
    </row>
    <row r="112" ht="42.75" customHeight="1">
      <c r="A112" s="14" t="inlineStr">
        <is>
          <t>Field_Dictionary only</t>
        </is>
      </c>
      <c r="B112" s="14" t="inlineStr">
        <is>
          <t>Rx Uploads</t>
        </is>
      </c>
      <c r="C112" s="14" t="inlineStr">
        <is>
          <t>rx_upload</t>
        </is>
      </c>
      <c r="D112" s="14" t="inlineStr">
        <is>
          <t>Prescription / Rx Upload</t>
        </is>
      </c>
      <c r="E112" s="14" t="inlineStr">
        <is>
          <t>file upload (multiple)</t>
        </is>
      </c>
      <c r="F112" s="14" t="inlineStr">
        <is>
          <t>Not modeled in data-entry tabs</t>
        </is>
      </c>
      <c r="G112" s="14" t="inlineStr">
        <is>
          <t>file</t>
        </is>
      </c>
      <c r="H112" s="14" t="inlineStr">
        <is>
          <t>No</t>
        </is>
      </c>
      <c r="I112" s="14" t="inlineStr">
        <is>
          <t>No</t>
        </is>
      </c>
      <c r="J112" s="14" t="n"/>
      <c r="K112" s="14" t="inlineStr">
        <is>
          <t>rx-upload-input | Workflow attachment control for PDF/image uploads; excluded from row-based Excel entry sheets.</t>
        </is>
      </c>
      <c r="L112" t="inlineStr">
        <is>
          <t>Existing (v2)</t>
        </is>
      </c>
    </row>
    <row r="113">
      <c r="A113" s="20" t="inlineStr">
        <is>
          <t>Demographics_Entry</t>
        </is>
      </c>
      <c r="B113" s="20" t="inlineStr">
        <is>
          <t>De-identified Demographics</t>
        </is>
      </c>
      <c r="C113" s="20" t="inlineStr">
        <is>
          <t>religion</t>
        </is>
      </c>
      <c r="D113" s="20" t="inlineStr">
        <is>
          <t>Religion</t>
        </is>
      </c>
      <c r="E113" s="20" t="inlineStr">
        <is>
          <t>dropdown</t>
        </is>
      </c>
      <c r="F113" s="20" t="inlineStr">
        <is>
          <t>Single column</t>
        </is>
      </c>
      <c r="G113" s="20" t="inlineStr">
        <is>
          <t>categorical</t>
        </is>
      </c>
      <c r="H113" s="20" t="inlineStr">
        <is>
          <t>No</t>
        </is>
      </c>
      <c r="I113" s="20" t="inlineStr">
        <is>
          <t>No</t>
        </is>
      </c>
      <c r="J113" s="20" t="inlineStr">
        <is>
          <t>Hindu | Muslim | Christian | Sikh | Buddhist | Jain | Other | Prefer not to say</t>
        </is>
      </c>
      <c r="K113" s="20" t="inlineStr">
        <is>
          <t>Registry capture point: demographics &amp; risk factors.</t>
        </is>
      </c>
      <c r="L113" s="20" t="inlineStr">
        <is>
          <t>PROPOSED (v3)</t>
        </is>
      </c>
    </row>
    <row r="114">
      <c r="A114" s="20" t="inlineStr">
        <is>
          <t>Demographics_Entry</t>
        </is>
      </c>
      <c r="B114" s="20" t="inlineStr">
        <is>
          <t>De-identified Demographics</t>
        </is>
      </c>
      <c r="C114" s="20" t="inlineStr">
        <is>
          <t>marital_status</t>
        </is>
      </c>
      <c r="D114" s="20" t="inlineStr">
        <is>
          <t>Marital Status</t>
        </is>
      </c>
      <c r="E114" s="20" t="inlineStr">
        <is>
          <t>dropdown</t>
        </is>
      </c>
      <c r="F114" s="20" t="inlineStr">
        <is>
          <t>Single column</t>
        </is>
      </c>
      <c r="G114" s="20" t="inlineStr">
        <is>
          <t>categorical</t>
        </is>
      </c>
      <c r="H114" s="20" t="inlineStr">
        <is>
          <t>No</t>
        </is>
      </c>
      <c r="I114" s="20" t="inlineStr">
        <is>
          <t>No</t>
        </is>
      </c>
      <c r="J114" s="20" t="inlineStr">
        <is>
          <t>Married | Unmarried | Widowed | Divorced / Separated</t>
        </is>
      </c>
      <c r="K114" s="20" t="inlineStr"/>
      <c r="L114" s="20" t="inlineStr">
        <is>
          <t>PROPOSED (v3)</t>
        </is>
      </c>
    </row>
    <row r="115">
      <c r="A115" s="20" t="inlineStr">
        <is>
          <t>Demographics_Entry</t>
        </is>
      </c>
      <c r="B115" s="20" t="inlineStr">
        <is>
          <t>De-identified Demographics</t>
        </is>
      </c>
      <c r="C115" s="20" t="inlineStr">
        <is>
          <t>education_level</t>
        </is>
      </c>
      <c r="D115" s="20" t="inlineStr">
        <is>
          <t>Education</t>
        </is>
      </c>
      <c r="E115" s="20" t="inlineStr">
        <is>
          <t>dropdown</t>
        </is>
      </c>
      <c r="F115" s="20" t="inlineStr">
        <is>
          <t>Single column</t>
        </is>
      </c>
      <c r="G115" s="20" t="inlineStr">
        <is>
          <t>categorical</t>
        </is>
      </c>
      <c r="H115" s="20" t="inlineStr">
        <is>
          <t>No</t>
        </is>
      </c>
      <c r="I115" s="20" t="inlineStr">
        <is>
          <t>No</t>
        </is>
      </c>
      <c r="J115" s="20" t="inlineStr">
        <is>
          <t>No formal education | Primary | Secondary | Higher secondary | Graduate | Post-graduate</t>
        </is>
      </c>
      <c r="K115" s="20" t="inlineStr"/>
      <c r="L115" s="20" t="inlineStr">
        <is>
          <t>PROPOSED (v3)</t>
        </is>
      </c>
    </row>
    <row r="116">
      <c r="A116" s="20" t="inlineStr">
        <is>
          <t>Demographics_Entry</t>
        </is>
      </c>
      <c r="B116" s="20" t="inlineStr">
        <is>
          <t>De-identified Demographics</t>
        </is>
      </c>
      <c r="C116" s="20" t="inlineStr">
        <is>
          <t>occupation</t>
        </is>
      </c>
      <c r="D116" s="20" t="inlineStr">
        <is>
          <t>Occupation</t>
        </is>
      </c>
      <c r="E116" s="20" t="inlineStr">
        <is>
          <t>dropdown</t>
        </is>
      </c>
      <c r="F116" s="20" t="inlineStr">
        <is>
          <t>Single column</t>
        </is>
      </c>
      <c r="G116" s="20" t="inlineStr">
        <is>
          <t>categorical</t>
        </is>
      </c>
      <c r="H116" s="20" t="inlineStr">
        <is>
          <t>No</t>
        </is>
      </c>
      <c r="I116" s="20" t="inlineStr">
        <is>
          <t>No</t>
        </is>
      </c>
      <c r="J116" s="20" t="inlineStr">
        <is>
          <t>Agriculture | Labour | Service / Salaried | Business / Self-employed | Retired | Unemployed | Other</t>
        </is>
      </c>
      <c r="K116" s="20" t="inlineStr"/>
      <c r="L116" s="20" t="inlineStr">
        <is>
          <t>PROPOSED (v3)</t>
        </is>
      </c>
    </row>
    <row r="117">
      <c r="A117" s="20" t="inlineStr">
        <is>
          <t>Demographics_Entry</t>
        </is>
      </c>
      <c r="B117" s="20" t="inlineStr">
        <is>
          <t>Risk Factors</t>
        </is>
      </c>
      <c r="C117" s="20" t="inlineStr">
        <is>
          <t>tobacco_use</t>
        </is>
      </c>
      <c r="D117" s="20" t="inlineStr">
        <is>
          <t>Tobacco Use</t>
        </is>
      </c>
      <c r="E117" s="20" t="inlineStr">
        <is>
          <t>dropdown</t>
        </is>
      </c>
      <c r="F117" s="20" t="inlineStr">
        <is>
          <t>Single column</t>
        </is>
      </c>
      <c r="G117" s="20" t="inlineStr">
        <is>
          <t>categorical</t>
        </is>
      </c>
      <c r="H117" s="20" t="inlineStr">
        <is>
          <t>No</t>
        </is>
      </c>
      <c r="I117" s="20" t="inlineStr">
        <is>
          <t>No</t>
        </is>
      </c>
      <c r="J117" s="20" t="inlineStr">
        <is>
          <t>Never | Former | Current</t>
        </is>
      </c>
      <c r="K117" s="20" t="inlineStr">
        <is>
          <t>Risk factor per care pathway.</t>
        </is>
      </c>
      <c r="L117" s="20" t="inlineStr">
        <is>
          <t>PROPOSED (v3)</t>
        </is>
      </c>
    </row>
    <row r="118">
      <c r="A118" s="20" t="inlineStr">
        <is>
          <t>Clinical_Entry</t>
        </is>
      </c>
      <c r="B118" s="20" t="inlineStr">
        <is>
          <t>Imaging &amp; Molecular Workup</t>
        </is>
      </c>
      <c r="C118" s="20" t="inlineStr">
        <is>
          <t>imaging_response</t>
        </is>
      </c>
      <c r="D118" s="20" t="inlineStr">
        <is>
          <t>Imaging Response (PCWG3 / RECIST)</t>
        </is>
      </c>
      <c r="E118" s="20" t="inlineStr">
        <is>
          <t>dropdown</t>
        </is>
      </c>
      <c r="F118" s="20" t="inlineStr">
        <is>
          <t>Single column</t>
        </is>
      </c>
      <c r="G118" s="20" t="inlineStr">
        <is>
          <t>categorical</t>
        </is>
      </c>
      <c r="H118" s="20" t="inlineStr">
        <is>
          <t>No</t>
        </is>
      </c>
      <c r="I118" s="20" t="inlineStr">
        <is>
          <t>No</t>
        </is>
      </c>
      <c r="J118" s="20" t="inlineStr">
        <is>
          <t>Not assessed | Complete response | Partial response | Stable disease | Progressive disease</t>
        </is>
      </c>
      <c r="K118" s="20" t="inlineStr">
        <is>
          <t>Response assessment capture point.</t>
        </is>
      </c>
      <c r="L118" s="20" t="inlineStr">
        <is>
          <t>PROPOSED (v3)</t>
        </is>
      </c>
    </row>
    <row r="119">
      <c r="A119" s="20" t="inlineStr">
        <is>
          <t>Treatment_Entry</t>
        </is>
      </c>
      <c r="B119" s="20" t="inlineStr">
        <is>
          <t>Surgery</t>
        </is>
      </c>
      <c r="C119" s="20" t="inlineStr">
        <is>
          <t>surgery_type</t>
        </is>
      </c>
      <c r="D119" s="20" t="inlineStr">
        <is>
          <t>Surgery Type</t>
        </is>
      </c>
      <c r="E119" s="20" t="inlineStr">
        <is>
          <t>dropdown</t>
        </is>
      </c>
      <c r="F119" s="20" t="inlineStr">
        <is>
          <t>Single column</t>
        </is>
      </c>
      <c r="G119" s="20" t="inlineStr">
        <is>
          <t>categorical</t>
        </is>
      </c>
      <c r="H119" s="20" t="inlineStr">
        <is>
          <t>No</t>
        </is>
      </c>
      <c r="I119" s="20" t="inlineStr">
        <is>
          <t>No</t>
        </is>
      </c>
      <c r="J119" s="20" t="inlineStr">
        <is>
          <t>None | Radical prostatectomy — open | Radical prostatectomy — laparoscopic | Radical prostatectomy — robotic | Bilateral orchidectomy | TURP (channel)</t>
        </is>
      </c>
      <c r="K119" s="20" t="inlineStr">
        <is>
          <t>Radical prostatectomy was missing; salvage-RT option implies it.</t>
        </is>
      </c>
      <c r="L119" s="20" t="inlineStr">
        <is>
          <t>PROPOSED (v3)</t>
        </is>
      </c>
    </row>
    <row r="120">
      <c r="A120" s="20" t="inlineStr">
        <is>
          <t>Treatment_Entry</t>
        </is>
      </c>
      <c r="B120" s="20" t="inlineStr">
        <is>
          <t>Surgery</t>
        </is>
      </c>
      <c r="C120" s="20" t="inlineStr">
        <is>
          <t>surgery_date</t>
        </is>
      </c>
      <c r="D120" s="20" t="inlineStr">
        <is>
          <t>Surgery Date</t>
        </is>
      </c>
      <c r="E120" s="20" t="inlineStr">
        <is>
          <t>date</t>
        </is>
      </c>
      <c r="F120" s="20" t="inlineStr">
        <is>
          <t>Single column</t>
        </is>
      </c>
      <c r="G120" s="20" t="inlineStr">
        <is>
          <t>date</t>
        </is>
      </c>
      <c r="H120" s="20" t="inlineStr">
        <is>
          <t>No</t>
        </is>
      </c>
      <c r="I120" s="20" t="inlineStr">
        <is>
          <t>No</t>
        </is>
      </c>
      <c r="J120" s="20" t="inlineStr">
        <is>
          <t>yyyy-mm-dd</t>
        </is>
      </c>
      <c r="K120" s="20" t="inlineStr"/>
      <c r="L120" s="20" t="inlineStr">
        <is>
          <t>PROPOSED (v3)</t>
        </is>
      </c>
    </row>
    <row r="121">
      <c r="A121" s="20" t="inlineStr">
        <is>
          <t>Treatment_Entry</t>
        </is>
      </c>
      <c r="B121" s="20" t="inlineStr">
        <is>
          <t>Radioligand Therapy</t>
        </is>
      </c>
      <c r="C121" s="20" t="inlineStr">
        <is>
          <t>radioligand_therapy</t>
        </is>
      </c>
      <c r="D121" s="20" t="inlineStr">
        <is>
          <t>Radioligand Therapy</t>
        </is>
      </c>
      <c r="E121" s="20" t="inlineStr">
        <is>
          <t>dropdown</t>
        </is>
      </c>
      <c r="F121" s="20" t="inlineStr">
        <is>
          <t>Single column</t>
        </is>
      </c>
      <c r="G121" s="20" t="inlineStr">
        <is>
          <t>categorical</t>
        </is>
      </c>
      <c r="H121" s="20" t="inlineStr">
        <is>
          <t>No</t>
        </is>
      </c>
      <c r="I121" s="20" t="inlineStr">
        <is>
          <t>No</t>
        </is>
      </c>
      <c r="J121" s="20" t="inlineStr">
        <is>
          <t>Not indicated | Lu-177 PSMA (Pluvicto) | Radium-223 (Xofigo)</t>
        </is>
      </c>
      <c r="K121" s="20" t="inlineStr">
        <is>
          <t>Pluvicto / Radium-223 — named registry capture point.</t>
        </is>
      </c>
      <c r="L121" s="20" t="inlineStr">
        <is>
          <t>PROPOSED (v3)</t>
        </is>
      </c>
    </row>
    <row r="122">
      <c r="A122" s="20" t="inlineStr">
        <is>
          <t>Treatment_Entry</t>
        </is>
      </c>
      <c r="B122" s="20" t="inlineStr">
        <is>
          <t>Radioligand Therapy</t>
        </is>
      </c>
      <c r="C122" s="20" t="inlineStr">
        <is>
          <t>radioligand_cycles_completed</t>
        </is>
      </c>
      <c r="D122" s="20" t="inlineStr">
        <is>
          <t>Radioligand Cycles Completed</t>
        </is>
      </c>
      <c r="E122" s="20" t="inlineStr">
        <is>
          <t>number</t>
        </is>
      </c>
      <c r="F122" s="20" t="inlineStr">
        <is>
          <t>Single column</t>
        </is>
      </c>
      <c r="G122" s="20" t="inlineStr">
        <is>
          <t>whole number</t>
        </is>
      </c>
      <c r="H122" s="20" t="inlineStr">
        <is>
          <t>No</t>
        </is>
      </c>
      <c r="I122" s="20" t="inlineStr">
        <is>
          <t>No</t>
        </is>
      </c>
      <c r="J122" s="20" t="inlineStr">
        <is>
          <t>0 to 6</t>
        </is>
      </c>
      <c r="K122" s="20" t="inlineStr"/>
      <c r="L122" s="20" t="inlineStr">
        <is>
          <t>PROPOSED (v3)</t>
        </is>
      </c>
    </row>
    <row r="123">
      <c r="A123" s="20" t="inlineStr">
        <is>
          <t>Treatment_Entry</t>
        </is>
      </c>
      <c r="B123" s="20" t="inlineStr">
        <is>
          <t>Radioligand Therapy</t>
        </is>
      </c>
      <c r="C123" s="20" t="inlineStr">
        <is>
          <t>radioligand_dose</t>
        </is>
      </c>
      <c r="D123" s="20" t="inlineStr">
        <is>
          <t>Radioligand Dose per Cycle</t>
        </is>
      </c>
      <c r="E123" s="20" t="inlineStr">
        <is>
          <t>text</t>
        </is>
      </c>
      <c r="F123" s="20" t="inlineStr">
        <is>
          <t>Single column</t>
        </is>
      </c>
      <c r="G123" s="20" t="inlineStr">
        <is>
          <t>text</t>
        </is>
      </c>
      <c r="H123" s="20" t="inlineStr">
        <is>
          <t>No</t>
        </is>
      </c>
      <c r="I123" s="20" t="inlineStr">
        <is>
          <t>No</t>
        </is>
      </c>
      <c r="J123" s="20" t="inlineStr">
        <is>
          <t>GBq / mCi</t>
        </is>
      </c>
      <c r="K123" s="20" t="inlineStr"/>
      <c r="L123" s="20" t="inlineStr">
        <is>
          <t>PROPOSED (v3)</t>
        </is>
      </c>
    </row>
    <row r="124">
      <c r="A124" s="20" t="inlineStr">
        <is>
          <t>Treatment_Entry</t>
        </is>
      </c>
      <c r="B124" s="20" t="inlineStr">
        <is>
          <t>Radioligand Therapy</t>
        </is>
      </c>
      <c r="C124" s="20" t="inlineStr">
        <is>
          <t>radioligand_last_cycle_date</t>
        </is>
      </c>
      <c r="D124" s="20" t="inlineStr">
        <is>
          <t>Radioligand Last Cycle Date</t>
        </is>
      </c>
      <c r="E124" s="20" t="inlineStr">
        <is>
          <t>date</t>
        </is>
      </c>
      <c r="F124" s="20" t="inlineStr">
        <is>
          <t>Single column</t>
        </is>
      </c>
      <c r="G124" s="20" t="inlineStr">
        <is>
          <t>date</t>
        </is>
      </c>
      <c r="H124" s="20" t="inlineStr">
        <is>
          <t>No</t>
        </is>
      </c>
      <c r="I124" s="20" t="inlineStr">
        <is>
          <t>No</t>
        </is>
      </c>
      <c r="J124" s="20" t="inlineStr">
        <is>
          <t>yyyy-mm-dd</t>
        </is>
      </c>
      <c r="K124" s="20" t="inlineStr"/>
      <c r="L124" s="20" t="inlineStr">
        <is>
          <t>PROPOSED (v3)</t>
        </is>
      </c>
    </row>
    <row r="125">
      <c r="A125" s="20" t="inlineStr">
        <is>
          <t>Outcomes_Entry</t>
        </is>
      </c>
      <c r="B125" s="20" t="inlineStr">
        <is>
          <t>Survival</t>
        </is>
      </c>
      <c r="C125" s="20" t="inlineStr">
        <is>
          <t>vital_status</t>
        </is>
      </c>
      <c r="D125" s="20" t="inlineStr">
        <is>
          <t>Vital Status</t>
        </is>
      </c>
      <c r="E125" s="20" t="inlineStr">
        <is>
          <t>dropdown</t>
        </is>
      </c>
      <c r="F125" s="20" t="inlineStr">
        <is>
          <t>Single column</t>
        </is>
      </c>
      <c r="G125" s="20" t="inlineStr">
        <is>
          <t>categorical</t>
        </is>
      </c>
      <c r="H125" s="20" t="inlineStr">
        <is>
          <t>No</t>
        </is>
      </c>
      <c r="I125" s="20" t="inlineStr">
        <is>
          <t>No</t>
        </is>
      </c>
      <c r="J125" s="20" t="inlineStr">
        <is>
          <t>Alive | Died | Lost to follow-up</t>
        </is>
      </c>
      <c r="K125" s="20" t="inlineStr">
        <is>
          <t>REQUIRED for Overall Survival.</t>
        </is>
      </c>
      <c r="L125" s="20" t="inlineStr">
        <is>
          <t>PROPOSED (v3)</t>
        </is>
      </c>
    </row>
    <row r="126">
      <c r="A126" s="20" t="inlineStr">
        <is>
          <t>Outcomes_Entry</t>
        </is>
      </c>
      <c r="B126" s="20" t="inlineStr">
        <is>
          <t>Survival</t>
        </is>
      </c>
      <c r="C126" s="20" t="inlineStr">
        <is>
          <t>date_of_death</t>
        </is>
      </c>
      <c r="D126" s="20" t="inlineStr">
        <is>
          <t>Date of Death</t>
        </is>
      </c>
      <c r="E126" s="20" t="inlineStr">
        <is>
          <t>date</t>
        </is>
      </c>
      <c r="F126" s="20" t="inlineStr">
        <is>
          <t>Single column</t>
        </is>
      </c>
      <c r="G126" s="20" t="inlineStr">
        <is>
          <t>date</t>
        </is>
      </c>
      <c r="H126" s="20" t="inlineStr">
        <is>
          <t>No</t>
        </is>
      </c>
      <c r="I126" s="20" t="inlineStr">
        <is>
          <t>No</t>
        </is>
      </c>
      <c r="J126" s="20" t="inlineStr">
        <is>
          <t>yyyy-mm-dd</t>
        </is>
      </c>
      <c r="K126" s="20" t="inlineStr">
        <is>
          <t>REQUIRED for Overall Survival.</t>
        </is>
      </c>
      <c r="L126" s="20" t="inlineStr">
        <is>
          <t>PROPOSED (v3)</t>
        </is>
      </c>
    </row>
    <row r="127">
      <c r="A127" s="20" t="inlineStr">
        <is>
          <t>Outcomes_Entry</t>
        </is>
      </c>
      <c r="B127" s="20" t="inlineStr">
        <is>
          <t>Survival</t>
        </is>
      </c>
      <c r="C127" s="20" t="inlineStr">
        <is>
          <t>cause_of_death</t>
        </is>
      </c>
      <c r="D127" s="20" t="inlineStr">
        <is>
          <t>Cause of Death</t>
        </is>
      </c>
      <c r="E127" s="20" t="inlineStr">
        <is>
          <t>dropdown</t>
        </is>
      </c>
      <c r="F127" s="20" t="inlineStr">
        <is>
          <t>Single column</t>
        </is>
      </c>
      <c r="G127" s="20" t="inlineStr">
        <is>
          <t>categorical</t>
        </is>
      </c>
      <c r="H127" s="20" t="inlineStr">
        <is>
          <t>No</t>
        </is>
      </c>
      <c r="I127" s="20" t="inlineStr">
        <is>
          <t>No</t>
        </is>
      </c>
      <c r="J127" s="20" t="inlineStr">
        <is>
          <t>Prostate cancer | Other cancer | Cardiovascular | Infection | Other | Unknown</t>
        </is>
      </c>
      <c r="K127" s="20" t="inlineStr"/>
      <c r="L127" s="20" t="inlineStr">
        <is>
          <t>PROPOSED (v3)</t>
        </is>
      </c>
    </row>
    <row r="128">
      <c r="A128" s="20" t="inlineStr">
        <is>
          <t>Outcomes_Entry</t>
        </is>
      </c>
      <c r="B128" s="20" t="inlineStr">
        <is>
          <t>Disease Status</t>
        </is>
      </c>
      <c r="C128" s="20" t="inlineStr">
        <is>
          <t>progression_free_date</t>
        </is>
      </c>
      <c r="D128" s="20" t="inlineStr">
        <is>
          <t>Progression-Free Survival Date</t>
        </is>
      </c>
      <c r="E128" s="20" t="inlineStr">
        <is>
          <t>date</t>
        </is>
      </c>
      <c r="F128" s="20" t="inlineStr">
        <is>
          <t>Single column</t>
        </is>
      </c>
      <c r="G128" s="20" t="inlineStr">
        <is>
          <t>date</t>
        </is>
      </c>
      <c r="H128" s="20" t="inlineStr">
        <is>
          <t>No</t>
        </is>
      </c>
      <c r="I128" s="20" t="inlineStr">
        <is>
          <t>No</t>
        </is>
      </c>
      <c r="J128" s="20" t="inlineStr">
        <is>
          <t>yyyy-mm-dd</t>
        </is>
      </c>
      <c r="K128" s="20" t="inlineStr">
        <is>
          <t>Enables PFS.</t>
        </is>
      </c>
      <c r="L128" s="20" t="inlineStr">
        <is>
          <t>PROPOSED (v3)</t>
        </is>
      </c>
    </row>
    <row r="129">
      <c r="A129" s="20" t="inlineStr">
        <is>
          <t>Lab_Results</t>
        </is>
      </c>
      <c r="B129" s="20" t="inlineStr">
        <is>
          <t>Lab Results</t>
        </is>
      </c>
      <c r="C129" s="20" t="inlineStr">
        <is>
          <t>patient_code</t>
        </is>
      </c>
      <c r="D129" s="20" t="inlineStr">
        <is>
          <t>Unique Patient Code</t>
        </is>
      </c>
      <c r="E129" s="20" t="inlineStr">
        <is>
          <t>text</t>
        </is>
      </c>
      <c r="F129" s="20" t="inlineStr">
        <is>
          <t>Repeating row key</t>
        </is>
      </c>
      <c r="G129" s="20" t="inlineStr">
        <is>
          <t>text</t>
        </is>
      </c>
      <c r="H129" s="20" t="inlineStr">
        <is>
          <t>No</t>
        </is>
      </c>
      <c r="I129" s="20" t="inlineStr">
        <is>
          <t>Yes</t>
        </is>
      </c>
      <c r="J129" s="20" t="inlineStr"/>
      <c r="K129" s="20" t="inlineStr">
        <is>
          <t>New record type per care pathway.</t>
        </is>
      </c>
      <c r="L129" s="20" t="inlineStr">
        <is>
          <t>PROPOSED (v3)</t>
        </is>
      </c>
    </row>
    <row r="130">
      <c r="A130" s="20" t="inlineStr">
        <is>
          <t>Lab_Results</t>
        </is>
      </c>
      <c r="B130" s="20" t="inlineStr">
        <is>
          <t>Lab Results</t>
        </is>
      </c>
      <c r="C130" s="20" t="inlineStr">
        <is>
          <t>lab_date</t>
        </is>
      </c>
      <c r="D130" s="20" t="inlineStr">
        <is>
          <t>Date</t>
        </is>
      </c>
      <c r="E130" s="20" t="inlineStr">
        <is>
          <t>date</t>
        </is>
      </c>
      <c r="F130" s="20" t="inlineStr">
        <is>
          <t>Repeating row field</t>
        </is>
      </c>
      <c r="G130" s="20" t="inlineStr">
        <is>
          <t>date</t>
        </is>
      </c>
      <c r="H130" s="20" t="inlineStr">
        <is>
          <t>No</t>
        </is>
      </c>
      <c r="I130" s="20" t="inlineStr">
        <is>
          <t>No</t>
        </is>
      </c>
      <c r="J130" s="20" t="inlineStr">
        <is>
          <t>yyyy-mm-dd</t>
        </is>
      </c>
      <c r="K130" s="20" t="inlineStr">
        <is>
          <t>New record type per care pathway.</t>
        </is>
      </c>
      <c r="L130" s="20" t="inlineStr">
        <is>
          <t>PROPOSED (v3)</t>
        </is>
      </c>
    </row>
    <row r="131">
      <c r="A131" s="20" t="inlineStr">
        <is>
          <t>Lab_Results</t>
        </is>
      </c>
      <c r="B131" s="20" t="inlineStr">
        <is>
          <t>Lab Results</t>
        </is>
      </c>
      <c r="C131" s="20" t="inlineStr">
        <is>
          <t>test_name</t>
        </is>
      </c>
      <c r="D131" s="20" t="inlineStr">
        <is>
          <t>Test</t>
        </is>
      </c>
      <c r="E131" s="20" t="inlineStr">
        <is>
          <t>dropdown</t>
        </is>
      </c>
      <c r="F131" s="20" t="inlineStr">
        <is>
          <t>Repeating row field</t>
        </is>
      </c>
      <c r="G131" s="20" t="inlineStr">
        <is>
          <t>categorical</t>
        </is>
      </c>
      <c r="H131" s="20" t="inlineStr">
        <is>
          <t>No</t>
        </is>
      </c>
      <c r="I131" s="20" t="inlineStr">
        <is>
          <t>No</t>
        </is>
      </c>
      <c r="J131" s="20" t="inlineStr">
        <is>
          <t>PSA | Testosterone | Haemoglobin (CBC) | WBC (CBC) | Platelets (CBC) | Creatinine (RFT) | Urea (RFT) | ALT (LFT) | AST (LFT) | Bilirubin (LFT) | Alkaline Phosphatase (ALP)</t>
        </is>
      </c>
      <c r="K131" s="20" t="inlineStr">
        <is>
          <t>New record type per care pathway.</t>
        </is>
      </c>
      <c r="L131" s="20" t="inlineStr">
        <is>
          <t>PROPOSED (v3)</t>
        </is>
      </c>
    </row>
    <row r="132">
      <c r="A132" s="20" t="inlineStr">
        <is>
          <t>Lab_Results</t>
        </is>
      </c>
      <c r="B132" s="20" t="inlineStr">
        <is>
          <t>Lab Results</t>
        </is>
      </c>
      <c r="C132" s="20" t="inlineStr">
        <is>
          <t>value</t>
        </is>
      </c>
      <c r="D132" s="20" t="inlineStr">
        <is>
          <t>Value</t>
        </is>
      </c>
      <c r="E132" s="20" t="inlineStr">
        <is>
          <t>number</t>
        </is>
      </c>
      <c r="F132" s="20" t="inlineStr">
        <is>
          <t>Repeating row field</t>
        </is>
      </c>
      <c r="G132" s="20" t="inlineStr">
        <is>
          <t>decimal number</t>
        </is>
      </c>
      <c r="H132" s="20" t="inlineStr">
        <is>
          <t>No</t>
        </is>
      </c>
      <c r="I132" s="20" t="inlineStr">
        <is>
          <t>No</t>
        </is>
      </c>
      <c r="J132" s="20" t="inlineStr"/>
      <c r="K132" s="20" t="inlineStr">
        <is>
          <t>New record type per care pathway.</t>
        </is>
      </c>
      <c r="L132" s="20" t="inlineStr">
        <is>
          <t>PROPOSED (v3)</t>
        </is>
      </c>
    </row>
    <row r="133">
      <c r="A133" s="20" t="inlineStr">
        <is>
          <t>Lab_Results</t>
        </is>
      </c>
      <c r="B133" s="20" t="inlineStr">
        <is>
          <t>Lab Results</t>
        </is>
      </c>
      <c r="C133" s="20" t="inlineStr">
        <is>
          <t>unit</t>
        </is>
      </c>
      <c r="D133" s="20" t="inlineStr">
        <is>
          <t>Unit</t>
        </is>
      </c>
      <c r="E133" s="20" t="inlineStr">
        <is>
          <t>text</t>
        </is>
      </c>
      <c r="F133" s="20" t="inlineStr">
        <is>
          <t>Repeating row field</t>
        </is>
      </c>
      <c r="G133" s="20" t="inlineStr">
        <is>
          <t>text</t>
        </is>
      </c>
      <c r="H133" s="20" t="inlineStr">
        <is>
          <t>No</t>
        </is>
      </c>
      <c r="I133" s="20" t="inlineStr">
        <is>
          <t>No</t>
        </is>
      </c>
      <c r="J133" s="20" t="inlineStr">
        <is>
          <t>e.g. ng/mL, g/dL</t>
        </is>
      </c>
      <c r="K133" s="20" t="inlineStr">
        <is>
          <t>New record type per care pathway.</t>
        </is>
      </c>
      <c r="L133" s="20" t="inlineStr">
        <is>
          <t>PROPOSED (v3)</t>
        </is>
      </c>
    </row>
    <row r="134">
      <c r="A134" s="20" t="inlineStr">
        <is>
          <t>Lab_Results</t>
        </is>
      </c>
      <c r="B134" s="20" t="inlineStr">
        <is>
          <t>Lab Results</t>
        </is>
      </c>
      <c r="C134" s="20" t="inlineStr">
        <is>
          <t>remarks</t>
        </is>
      </c>
      <c r="D134" s="20" t="inlineStr">
        <is>
          <t>Remarks</t>
        </is>
      </c>
      <c r="E134" s="20" t="inlineStr">
        <is>
          <t>text</t>
        </is>
      </c>
      <c r="F134" s="20" t="inlineStr">
        <is>
          <t>Repeating row field</t>
        </is>
      </c>
      <c r="G134" s="20" t="inlineStr">
        <is>
          <t>text</t>
        </is>
      </c>
      <c r="H134" s="20" t="inlineStr">
        <is>
          <t>No</t>
        </is>
      </c>
      <c r="I134" s="20" t="inlineStr">
        <is>
          <t>No</t>
        </is>
      </c>
      <c r="J134" s="20" t="inlineStr"/>
      <c r="K134" s="20" t="inlineStr">
        <is>
          <t>New record type per care pathway.</t>
        </is>
      </c>
      <c r="L134" s="20" t="inlineStr">
        <is>
          <t>PROPOSED (v3)</t>
        </is>
      </c>
    </row>
    <row r="135">
      <c r="A135" s="20" t="inlineStr">
        <is>
          <t>Adverse_Events</t>
        </is>
      </c>
      <c r="B135" s="20" t="inlineStr">
        <is>
          <t>Adverse Events</t>
        </is>
      </c>
      <c r="C135" s="20" t="inlineStr">
        <is>
          <t>patient_code</t>
        </is>
      </c>
      <c r="D135" s="20" t="inlineStr">
        <is>
          <t>Unique Patient Code</t>
        </is>
      </c>
      <c r="E135" s="20" t="inlineStr">
        <is>
          <t>text</t>
        </is>
      </c>
      <c r="F135" s="20" t="inlineStr">
        <is>
          <t>Repeating row key</t>
        </is>
      </c>
      <c r="G135" s="20" t="inlineStr">
        <is>
          <t>text</t>
        </is>
      </c>
      <c r="H135" s="20" t="inlineStr">
        <is>
          <t>No</t>
        </is>
      </c>
      <c r="I135" s="20" t="inlineStr">
        <is>
          <t>Yes</t>
        </is>
      </c>
      <c r="J135" s="20" t="inlineStr"/>
      <c r="K135" s="20" t="inlineStr">
        <is>
          <t>New record type per care pathway.</t>
        </is>
      </c>
      <c r="L135" s="20" t="inlineStr">
        <is>
          <t>PROPOSED (v3)</t>
        </is>
      </c>
    </row>
    <row r="136">
      <c r="A136" s="20" t="inlineStr">
        <is>
          <t>Adverse_Events</t>
        </is>
      </c>
      <c r="B136" s="20" t="inlineStr">
        <is>
          <t>Adverse Events</t>
        </is>
      </c>
      <c r="C136" s="20" t="inlineStr">
        <is>
          <t>ae_term</t>
        </is>
      </c>
      <c r="D136" s="20" t="inlineStr">
        <is>
          <t>Adverse Event</t>
        </is>
      </c>
      <c r="E136" s="20" t="inlineStr">
        <is>
          <t>text</t>
        </is>
      </c>
      <c r="F136" s="20" t="inlineStr">
        <is>
          <t>Repeating row field</t>
        </is>
      </c>
      <c r="G136" s="20" t="inlineStr">
        <is>
          <t>text</t>
        </is>
      </c>
      <c r="H136" s="20" t="inlineStr">
        <is>
          <t>No</t>
        </is>
      </c>
      <c r="I136" s="20" t="inlineStr">
        <is>
          <t>No</t>
        </is>
      </c>
      <c r="J136" s="20" t="inlineStr">
        <is>
          <t>CTCAE term</t>
        </is>
      </c>
      <c r="K136" s="20" t="inlineStr">
        <is>
          <t>New record type per care pathway.</t>
        </is>
      </c>
      <c r="L136" s="20" t="inlineStr">
        <is>
          <t>PROPOSED (v3)</t>
        </is>
      </c>
    </row>
    <row r="137">
      <c r="A137" s="20" t="inlineStr">
        <is>
          <t>Adverse_Events</t>
        </is>
      </c>
      <c r="B137" s="20" t="inlineStr">
        <is>
          <t>Adverse Events</t>
        </is>
      </c>
      <c r="C137" s="20" t="inlineStr">
        <is>
          <t>ctcae_grade</t>
        </is>
      </c>
      <c r="D137" s="20" t="inlineStr">
        <is>
          <t>CTCAE Grade</t>
        </is>
      </c>
      <c r="E137" s="20" t="inlineStr">
        <is>
          <t>dropdown</t>
        </is>
      </c>
      <c r="F137" s="20" t="inlineStr">
        <is>
          <t>Repeating row field</t>
        </is>
      </c>
      <c r="G137" s="20" t="inlineStr">
        <is>
          <t>categorical</t>
        </is>
      </c>
      <c r="H137" s="20" t="inlineStr">
        <is>
          <t>No</t>
        </is>
      </c>
      <c r="I137" s="20" t="inlineStr">
        <is>
          <t>No</t>
        </is>
      </c>
      <c r="J137" s="20" t="inlineStr">
        <is>
          <t>Grade 1 — Mild | Grade 2 — Moderate | Grade 3 — Severe | Grade 4 — Life-threatening | Grade 5 — Death</t>
        </is>
      </c>
      <c r="K137" s="20" t="inlineStr">
        <is>
          <t>New record type per care pathway.</t>
        </is>
      </c>
      <c r="L137" s="20" t="inlineStr">
        <is>
          <t>PROPOSED (v3)</t>
        </is>
      </c>
    </row>
    <row r="138">
      <c r="A138" s="20" t="inlineStr">
        <is>
          <t>Adverse_Events</t>
        </is>
      </c>
      <c r="B138" s="20" t="inlineStr">
        <is>
          <t>Adverse Events</t>
        </is>
      </c>
      <c r="C138" s="20" t="inlineStr">
        <is>
          <t>onset_date</t>
        </is>
      </c>
      <c r="D138" s="20" t="inlineStr">
        <is>
          <t>Onset Date</t>
        </is>
      </c>
      <c r="E138" s="20" t="inlineStr">
        <is>
          <t>date</t>
        </is>
      </c>
      <c r="F138" s="20" t="inlineStr">
        <is>
          <t>Repeating row field</t>
        </is>
      </c>
      <c r="G138" s="20" t="inlineStr">
        <is>
          <t>date</t>
        </is>
      </c>
      <c r="H138" s="20" t="inlineStr">
        <is>
          <t>No</t>
        </is>
      </c>
      <c r="I138" s="20" t="inlineStr">
        <is>
          <t>No</t>
        </is>
      </c>
      <c r="J138" s="20" t="inlineStr">
        <is>
          <t>yyyy-mm-dd</t>
        </is>
      </c>
      <c r="K138" s="20" t="inlineStr">
        <is>
          <t>New record type per care pathway.</t>
        </is>
      </c>
      <c r="L138" s="20" t="inlineStr">
        <is>
          <t>PROPOSED (v3)</t>
        </is>
      </c>
    </row>
    <row r="139">
      <c r="A139" s="20" t="inlineStr">
        <is>
          <t>Adverse_Events</t>
        </is>
      </c>
      <c r="B139" s="20" t="inlineStr">
        <is>
          <t>Adverse Events</t>
        </is>
      </c>
      <c r="C139" s="20" t="inlineStr">
        <is>
          <t>related_treatment</t>
        </is>
      </c>
      <c r="D139" s="20" t="inlineStr">
        <is>
          <t>Related Treatment</t>
        </is>
      </c>
      <c r="E139" s="20" t="inlineStr">
        <is>
          <t>dropdown</t>
        </is>
      </c>
      <c r="F139" s="20" t="inlineStr">
        <is>
          <t>Repeating row field</t>
        </is>
      </c>
      <c r="G139" s="20" t="inlineStr">
        <is>
          <t>categorical</t>
        </is>
      </c>
      <c r="H139" s="20" t="inlineStr">
        <is>
          <t>No</t>
        </is>
      </c>
      <c r="I139" s="20" t="inlineStr">
        <is>
          <t>No</t>
        </is>
      </c>
      <c r="J139" s="20" t="inlineStr">
        <is>
          <t>ADT | ARPI / ARSI | Chemotherapy | Radiotherapy | Radioligand therapy | Surgery | Other / Unknown</t>
        </is>
      </c>
      <c r="K139" s="20" t="inlineStr">
        <is>
          <t>New record type per care pathway.</t>
        </is>
      </c>
      <c r="L139" s="20" t="inlineStr">
        <is>
          <t>PROPOSED (v3)</t>
        </is>
      </c>
    </row>
    <row r="140">
      <c r="A140" s="20" t="inlineStr">
        <is>
          <t>Adverse_Events</t>
        </is>
      </c>
      <c r="B140" s="20" t="inlineStr">
        <is>
          <t>Adverse Events</t>
        </is>
      </c>
      <c r="C140" s="20" t="inlineStr">
        <is>
          <t>action_taken</t>
        </is>
      </c>
      <c r="D140" s="20" t="inlineStr">
        <is>
          <t>Action Taken</t>
        </is>
      </c>
      <c r="E140" s="20" t="inlineStr">
        <is>
          <t>dropdown</t>
        </is>
      </c>
      <c r="F140" s="20" t="inlineStr">
        <is>
          <t>Repeating row field</t>
        </is>
      </c>
      <c r="G140" s="20" t="inlineStr">
        <is>
          <t>categorical</t>
        </is>
      </c>
      <c r="H140" s="20" t="inlineStr">
        <is>
          <t>No</t>
        </is>
      </c>
      <c r="I140" s="20" t="inlineStr">
        <is>
          <t>No</t>
        </is>
      </c>
      <c r="J140" s="20" t="inlineStr">
        <is>
          <t>None | Dose reduced | Treatment interrupted | Treatment discontinued | Hospitalisation | Concomitant medication</t>
        </is>
      </c>
      <c r="K140" s="20" t="inlineStr">
        <is>
          <t>New record type per care pathway.</t>
        </is>
      </c>
      <c r="L140" s="20" t="inlineStr">
        <is>
          <t>PROPOSED (v3)</t>
        </is>
      </c>
    </row>
    <row r="141">
      <c r="A141" s="20" t="inlineStr">
        <is>
          <t>Bone_Events</t>
        </is>
      </c>
      <c r="B141" s="20" t="inlineStr">
        <is>
          <t>Bone Events</t>
        </is>
      </c>
      <c r="C141" s="20" t="inlineStr">
        <is>
          <t>patient_code</t>
        </is>
      </c>
      <c r="D141" s="20" t="inlineStr">
        <is>
          <t>Unique Patient Code</t>
        </is>
      </c>
      <c r="E141" s="20" t="inlineStr">
        <is>
          <t>text</t>
        </is>
      </c>
      <c r="F141" s="20" t="inlineStr">
        <is>
          <t>Repeating row key</t>
        </is>
      </c>
      <c r="G141" s="20" t="inlineStr">
        <is>
          <t>text</t>
        </is>
      </c>
      <c r="H141" s="20" t="inlineStr">
        <is>
          <t>No</t>
        </is>
      </c>
      <c r="I141" s="20" t="inlineStr">
        <is>
          <t>Yes</t>
        </is>
      </c>
      <c r="J141" s="20" t="inlineStr"/>
      <c r="K141" s="20" t="inlineStr">
        <is>
          <t>New record type per care pathway.</t>
        </is>
      </c>
      <c r="L141" s="20" t="inlineStr">
        <is>
          <t>PROPOSED (v3)</t>
        </is>
      </c>
    </row>
    <row r="142">
      <c r="A142" s="20" t="inlineStr">
        <is>
          <t>Bone_Events</t>
        </is>
      </c>
      <c r="B142" s="20" t="inlineStr">
        <is>
          <t>Bone Events</t>
        </is>
      </c>
      <c r="C142" s="20" t="inlineStr">
        <is>
          <t>event_date</t>
        </is>
      </c>
      <c r="D142" s="20" t="inlineStr">
        <is>
          <t>Event Date</t>
        </is>
      </c>
      <c r="E142" s="20" t="inlineStr">
        <is>
          <t>date</t>
        </is>
      </c>
      <c r="F142" s="20" t="inlineStr">
        <is>
          <t>Repeating row field</t>
        </is>
      </c>
      <c r="G142" s="20" t="inlineStr">
        <is>
          <t>date</t>
        </is>
      </c>
      <c r="H142" s="20" t="inlineStr">
        <is>
          <t>No</t>
        </is>
      </c>
      <c r="I142" s="20" t="inlineStr">
        <is>
          <t>No</t>
        </is>
      </c>
      <c r="J142" s="20" t="inlineStr">
        <is>
          <t>yyyy-mm-dd</t>
        </is>
      </c>
      <c r="K142" s="20" t="inlineStr">
        <is>
          <t>New record type per care pathway.</t>
        </is>
      </c>
      <c r="L142" s="20" t="inlineStr">
        <is>
          <t>PROPOSED (v3)</t>
        </is>
      </c>
    </row>
    <row r="143">
      <c r="A143" s="20" t="inlineStr">
        <is>
          <t>Bone_Events</t>
        </is>
      </c>
      <c r="B143" s="20" t="inlineStr">
        <is>
          <t>Bone Events</t>
        </is>
      </c>
      <c r="C143" s="20" t="inlineStr">
        <is>
          <t>bone_event_type</t>
        </is>
      </c>
      <c r="D143" s="20" t="inlineStr">
        <is>
          <t>Skeletal-Related Event</t>
        </is>
      </c>
      <c r="E143" s="20" t="inlineStr">
        <is>
          <t>dropdown</t>
        </is>
      </c>
      <c r="F143" s="20" t="inlineStr">
        <is>
          <t>Repeating row field</t>
        </is>
      </c>
      <c r="G143" s="20" t="inlineStr">
        <is>
          <t>categorical</t>
        </is>
      </c>
      <c r="H143" s="20" t="inlineStr">
        <is>
          <t>No</t>
        </is>
      </c>
      <c r="I143" s="20" t="inlineStr">
        <is>
          <t>No</t>
        </is>
      </c>
      <c r="J143" s="20" t="inlineStr">
        <is>
          <t>Pathological fracture | Spinal cord compression | Radiation to bone | Surgery to bone | Hypercalcaemia</t>
        </is>
      </c>
      <c r="K143" s="20" t="inlineStr">
        <is>
          <t>New record type per care pathway.</t>
        </is>
      </c>
      <c r="L143" s="20" t="inlineStr">
        <is>
          <t>PROPOSED (v3)</t>
        </is>
      </c>
    </row>
    <row r="144">
      <c r="A144" s="20" t="inlineStr">
        <is>
          <t>QoL_Assessments</t>
        </is>
      </c>
      <c r="B144" s="20" t="inlineStr">
        <is>
          <t>QoL Assessments</t>
        </is>
      </c>
      <c r="C144" s="20" t="inlineStr">
        <is>
          <t>patient_code</t>
        </is>
      </c>
      <c r="D144" s="20" t="inlineStr">
        <is>
          <t>Unique Patient Code</t>
        </is>
      </c>
      <c r="E144" s="20" t="inlineStr">
        <is>
          <t>text</t>
        </is>
      </c>
      <c r="F144" s="20" t="inlineStr">
        <is>
          <t>Repeating row key</t>
        </is>
      </c>
      <c r="G144" s="20" t="inlineStr">
        <is>
          <t>text</t>
        </is>
      </c>
      <c r="H144" s="20" t="inlineStr">
        <is>
          <t>No</t>
        </is>
      </c>
      <c r="I144" s="20" t="inlineStr">
        <is>
          <t>Yes</t>
        </is>
      </c>
      <c r="J144" s="20" t="inlineStr"/>
      <c r="K144" s="20" t="inlineStr">
        <is>
          <t>New record type per care pathway.</t>
        </is>
      </c>
      <c r="L144" s="20" t="inlineStr">
        <is>
          <t>PROPOSED (v3)</t>
        </is>
      </c>
    </row>
    <row r="145">
      <c r="A145" s="20" t="inlineStr">
        <is>
          <t>QoL_Assessments</t>
        </is>
      </c>
      <c r="B145" s="20" t="inlineStr">
        <is>
          <t>QoL Assessments</t>
        </is>
      </c>
      <c r="C145" s="20" t="inlineStr">
        <is>
          <t>assessment_date</t>
        </is>
      </c>
      <c r="D145" s="20" t="inlineStr">
        <is>
          <t>Assessment Date</t>
        </is>
      </c>
      <c r="E145" s="20" t="inlineStr">
        <is>
          <t>date</t>
        </is>
      </c>
      <c r="F145" s="20" t="inlineStr">
        <is>
          <t>Repeating row field</t>
        </is>
      </c>
      <c r="G145" s="20" t="inlineStr">
        <is>
          <t>date</t>
        </is>
      </c>
      <c r="H145" s="20" t="inlineStr">
        <is>
          <t>No</t>
        </is>
      </c>
      <c r="I145" s="20" t="inlineStr">
        <is>
          <t>No</t>
        </is>
      </c>
      <c r="J145" s="20" t="inlineStr">
        <is>
          <t>yyyy-mm-dd</t>
        </is>
      </c>
      <c r="K145" s="20" t="inlineStr">
        <is>
          <t>New record type per care pathway.</t>
        </is>
      </c>
      <c r="L145" s="20" t="inlineStr">
        <is>
          <t>PROPOSED (v3)</t>
        </is>
      </c>
    </row>
    <row r="146">
      <c r="A146" s="20" t="inlineStr">
        <is>
          <t>QoL_Assessments</t>
        </is>
      </c>
      <c r="B146" s="20" t="inlineStr">
        <is>
          <t>QoL Assessments</t>
        </is>
      </c>
      <c r="C146" s="20" t="inlineStr">
        <is>
          <t>qol_instrument</t>
        </is>
      </c>
      <c r="D146" s="20" t="inlineStr">
        <is>
          <t>Instrument</t>
        </is>
      </c>
      <c r="E146" s="20" t="inlineStr">
        <is>
          <t>dropdown</t>
        </is>
      </c>
      <c r="F146" s="20" t="inlineStr">
        <is>
          <t>Repeating row field</t>
        </is>
      </c>
      <c r="G146" s="20" t="inlineStr">
        <is>
          <t>categorical</t>
        </is>
      </c>
      <c r="H146" s="20" t="inlineStr">
        <is>
          <t>No</t>
        </is>
      </c>
      <c r="I146" s="20" t="inlineStr">
        <is>
          <t>No</t>
        </is>
      </c>
      <c r="J146" s="20" t="inlineStr">
        <is>
          <t>EQ-5D-5L | FACT-P | EORTC QLQ-C30</t>
        </is>
      </c>
      <c r="K146" s="20" t="inlineStr">
        <is>
          <t>New record type per care pathway.</t>
        </is>
      </c>
      <c r="L146" s="20" t="inlineStr">
        <is>
          <t>PROPOSED (v3)</t>
        </is>
      </c>
    </row>
    <row r="147">
      <c r="A147" s="20" t="inlineStr">
        <is>
          <t>QoL_Assessments</t>
        </is>
      </c>
      <c r="B147" s="20" t="inlineStr">
        <is>
          <t>QoL Assessments</t>
        </is>
      </c>
      <c r="C147" s="20" t="inlineStr">
        <is>
          <t>qol_score</t>
        </is>
      </c>
      <c r="D147" s="20" t="inlineStr">
        <is>
          <t>Score</t>
        </is>
      </c>
      <c r="E147" s="20" t="inlineStr">
        <is>
          <t>number</t>
        </is>
      </c>
      <c r="F147" s="20" t="inlineStr">
        <is>
          <t>Repeating row field</t>
        </is>
      </c>
      <c r="G147" s="20" t="inlineStr">
        <is>
          <t>decimal number</t>
        </is>
      </c>
      <c r="H147" s="20" t="inlineStr">
        <is>
          <t>No</t>
        </is>
      </c>
      <c r="I147" s="20" t="inlineStr">
        <is>
          <t>No</t>
        </is>
      </c>
      <c r="J147" s="20" t="inlineStr"/>
      <c r="K147" s="20" t="inlineStr">
        <is>
          <t>New record type per care pathway.</t>
        </is>
      </c>
      <c r="L147" s="20" t="inlineStr">
        <is>
          <t>PROPOSED (v3)</t>
        </is>
      </c>
    </row>
    <row r="148">
      <c r="A148" s="20" t="inlineStr">
        <is>
          <t>Healthcare_Contacts</t>
        </is>
      </c>
      <c r="B148" s="20" t="inlineStr">
        <is>
          <t>Healthcare Contacts</t>
        </is>
      </c>
      <c r="C148" s="20" t="inlineStr">
        <is>
          <t>patient_code</t>
        </is>
      </c>
      <c r="D148" s="20" t="inlineStr">
        <is>
          <t>Unique Patient Code</t>
        </is>
      </c>
      <c r="E148" s="20" t="inlineStr">
        <is>
          <t>text</t>
        </is>
      </c>
      <c r="F148" s="20" t="inlineStr">
        <is>
          <t>Repeating row key</t>
        </is>
      </c>
      <c r="G148" s="20" t="inlineStr">
        <is>
          <t>text</t>
        </is>
      </c>
      <c r="H148" s="20" t="inlineStr">
        <is>
          <t>No</t>
        </is>
      </c>
      <c r="I148" s="20" t="inlineStr">
        <is>
          <t>Yes</t>
        </is>
      </c>
      <c r="J148" s="20" t="inlineStr"/>
      <c r="K148" s="20" t="inlineStr">
        <is>
          <t>New record type per care pathway.</t>
        </is>
      </c>
      <c r="L148" s="20" t="inlineStr">
        <is>
          <t>PROPOSED (v3)</t>
        </is>
      </c>
    </row>
    <row r="149">
      <c r="A149" s="20" t="inlineStr">
        <is>
          <t>Healthcare_Contacts</t>
        </is>
      </c>
      <c r="B149" s="20" t="inlineStr">
        <is>
          <t>Healthcare Contacts</t>
        </is>
      </c>
      <c r="C149" s="20" t="inlineStr">
        <is>
          <t>contact_date</t>
        </is>
      </c>
      <c r="D149" s="20" t="inlineStr">
        <is>
          <t>Date</t>
        </is>
      </c>
      <c r="E149" s="20" t="inlineStr">
        <is>
          <t>date</t>
        </is>
      </c>
      <c r="F149" s="20" t="inlineStr">
        <is>
          <t>Repeating row field</t>
        </is>
      </c>
      <c r="G149" s="20" t="inlineStr">
        <is>
          <t>date</t>
        </is>
      </c>
      <c r="H149" s="20" t="inlineStr">
        <is>
          <t>No</t>
        </is>
      </c>
      <c r="I149" s="20" t="inlineStr">
        <is>
          <t>No</t>
        </is>
      </c>
      <c r="J149" s="20" t="inlineStr">
        <is>
          <t>yyyy-mm-dd</t>
        </is>
      </c>
      <c r="K149" s="20" t="inlineStr">
        <is>
          <t>New record type per care pathway.</t>
        </is>
      </c>
      <c r="L149" s="20" t="inlineStr">
        <is>
          <t>PROPOSED (v3)</t>
        </is>
      </c>
    </row>
    <row r="150">
      <c r="A150" s="20" t="inlineStr">
        <is>
          <t>Healthcare_Contacts</t>
        </is>
      </c>
      <c r="B150" s="20" t="inlineStr">
        <is>
          <t>Healthcare Contacts</t>
        </is>
      </c>
      <c r="C150" s="20" t="inlineStr">
        <is>
          <t>contact_type</t>
        </is>
      </c>
      <c r="D150" s="20" t="inlineStr">
        <is>
          <t>Contact Type</t>
        </is>
      </c>
      <c r="E150" s="20" t="inlineStr">
        <is>
          <t>dropdown</t>
        </is>
      </c>
      <c r="F150" s="20" t="inlineStr">
        <is>
          <t>Repeating row field</t>
        </is>
      </c>
      <c r="G150" s="20" t="inlineStr">
        <is>
          <t>categorical</t>
        </is>
      </c>
      <c r="H150" s="20" t="inlineStr">
        <is>
          <t>No</t>
        </is>
      </c>
      <c r="I150" s="20" t="inlineStr">
        <is>
          <t>No</t>
        </is>
      </c>
      <c r="J150" s="20" t="inlineStr">
        <is>
          <t>Hospitalisation | Emergency (ER) visit | Day-care admission</t>
        </is>
      </c>
      <c r="K150" s="20" t="inlineStr">
        <is>
          <t>New record type per care pathway.</t>
        </is>
      </c>
      <c r="L150" s="20" t="inlineStr">
        <is>
          <t>PROPOSED (v3)</t>
        </is>
      </c>
    </row>
    <row r="151">
      <c r="A151" s="20" t="inlineStr">
        <is>
          <t>Healthcare_Contacts</t>
        </is>
      </c>
      <c r="B151" s="20" t="inlineStr">
        <is>
          <t>Healthcare Contacts</t>
        </is>
      </c>
      <c r="C151" s="20" t="inlineStr">
        <is>
          <t>length_of_stay_days</t>
        </is>
      </c>
      <c r="D151" s="20" t="inlineStr">
        <is>
          <t>Length of Stay (days)</t>
        </is>
      </c>
      <c r="E151" s="20" t="inlineStr">
        <is>
          <t>number</t>
        </is>
      </c>
      <c r="F151" s="20" t="inlineStr">
        <is>
          <t>Repeating row field</t>
        </is>
      </c>
      <c r="G151" s="20" t="inlineStr">
        <is>
          <t>whole number</t>
        </is>
      </c>
      <c r="H151" s="20" t="inlineStr">
        <is>
          <t>No</t>
        </is>
      </c>
      <c r="I151" s="20" t="inlineStr">
        <is>
          <t>No</t>
        </is>
      </c>
      <c r="J151" s="20" t="inlineStr"/>
      <c r="K151" s="20" t="inlineStr">
        <is>
          <t>New record type per care pathway.</t>
        </is>
      </c>
      <c r="L151" s="20" t="inlineStr">
        <is>
          <t>PROPOSED (v3)</t>
        </is>
      </c>
    </row>
    <row r="152">
      <c r="A152" s="20" t="inlineStr">
        <is>
          <t>Healthcare_Contacts</t>
        </is>
      </c>
      <c r="B152" s="20" t="inlineStr">
        <is>
          <t>Healthcare Contacts</t>
        </is>
      </c>
      <c r="C152" s="20" t="inlineStr">
        <is>
          <t>contact_reason</t>
        </is>
      </c>
      <c r="D152" s="20" t="inlineStr">
        <is>
          <t>Reason</t>
        </is>
      </c>
      <c r="E152" s="20" t="inlineStr">
        <is>
          <t>text</t>
        </is>
      </c>
      <c r="F152" s="20" t="inlineStr">
        <is>
          <t>Repeating row field</t>
        </is>
      </c>
      <c r="G152" s="20" t="inlineStr">
        <is>
          <t>text</t>
        </is>
      </c>
      <c r="H152" s="20" t="inlineStr">
        <is>
          <t>No</t>
        </is>
      </c>
      <c r="I152" s="20" t="inlineStr">
        <is>
          <t>No</t>
        </is>
      </c>
      <c r="J152" s="20" t="inlineStr"/>
      <c r="K152" s="20" t="inlineStr">
        <is>
          <t>New record type per care pathway.</t>
        </is>
      </c>
      <c r="L152" s="20" t="inlineStr">
        <is>
          <t>PROPOSED (v3)</t>
        </is>
      </c>
    </row>
    <row r="153">
      <c r="A153" s="20" t="inlineStr">
        <is>
          <t>Referrals</t>
        </is>
      </c>
      <c r="B153" s="20" t="inlineStr">
        <is>
          <t>Referrals</t>
        </is>
      </c>
      <c r="C153" s="20" t="inlineStr">
        <is>
          <t>patient_code</t>
        </is>
      </c>
      <c r="D153" s="20" t="inlineStr">
        <is>
          <t>Unique Patient Code</t>
        </is>
      </c>
      <c r="E153" s="20" t="inlineStr">
        <is>
          <t>text</t>
        </is>
      </c>
      <c r="F153" s="20" t="inlineStr">
        <is>
          <t>Repeating row key</t>
        </is>
      </c>
      <c r="G153" s="20" t="inlineStr">
        <is>
          <t>text</t>
        </is>
      </c>
      <c r="H153" s="20" t="inlineStr">
        <is>
          <t>No</t>
        </is>
      </c>
      <c r="I153" s="20" t="inlineStr">
        <is>
          <t>Yes</t>
        </is>
      </c>
      <c r="J153" s="20" t="inlineStr"/>
      <c r="K153" s="20" t="inlineStr">
        <is>
          <t>New record type per care pathway.</t>
        </is>
      </c>
      <c r="L153" s="20" t="inlineStr">
        <is>
          <t>PROPOSED (v3)</t>
        </is>
      </c>
    </row>
    <row r="154">
      <c r="A154" s="20" t="inlineStr">
        <is>
          <t>Referrals</t>
        </is>
      </c>
      <c r="B154" s="20" t="inlineStr">
        <is>
          <t>Referrals</t>
        </is>
      </c>
      <c r="C154" s="20" t="inlineStr">
        <is>
          <t>referral_date</t>
        </is>
      </c>
      <c r="D154" s="20" t="inlineStr">
        <is>
          <t>Referral Date</t>
        </is>
      </c>
      <c r="E154" s="20" t="inlineStr">
        <is>
          <t>date</t>
        </is>
      </c>
      <c r="F154" s="20" t="inlineStr">
        <is>
          <t>Repeating row field</t>
        </is>
      </c>
      <c r="G154" s="20" t="inlineStr">
        <is>
          <t>date</t>
        </is>
      </c>
      <c r="H154" s="20" t="inlineStr">
        <is>
          <t>No</t>
        </is>
      </c>
      <c r="I154" s="20" t="inlineStr">
        <is>
          <t>No</t>
        </is>
      </c>
      <c r="J154" s="20" t="inlineStr">
        <is>
          <t>yyyy-mm-dd</t>
        </is>
      </c>
      <c r="K154" s="20" t="inlineStr">
        <is>
          <t>New record type per care pathway.</t>
        </is>
      </c>
      <c r="L154" s="20" t="inlineStr">
        <is>
          <t>PROPOSED (v3)</t>
        </is>
      </c>
    </row>
    <row r="155">
      <c r="A155" s="20" t="inlineStr">
        <is>
          <t>Referrals</t>
        </is>
      </c>
      <c r="B155" s="20" t="inlineStr">
        <is>
          <t>Referrals</t>
        </is>
      </c>
      <c r="C155" s="20" t="inlineStr">
        <is>
          <t>referral_service</t>
        </is>
      </c>
      <c r="D155" s="20" t="inlineStr">
        <is>
          <t>Service</t>
        </is>
      </c>
      <c r="E155" s="20" t="inlineStr">
        <is>
          <t>dropdown</t>
        </is>
      </c>
      <c r="F155" s="20" t="inlineStr">
        <is>
          <t>Repeating row field</t>
        </is>
      </c>
      <c r="G155" s="20" t="inlineStr">
        <is>
          <t>categorical</t>
        </is>
      </c>
      <c r="H155" s="20" t="inlineStr">
        <is>
          <t>No</t>
        </is>
      </c>
      <c r="I155" s="20" t="inlineStr">
        <is>
          <t>No</t>
        </is>
      </c>
      <c r="J155" s="20" t="inlineStr">
        <is>
          <t>Dietician | Physiotherapy | Psychology | Social work | Genetic counselling | Palliative care | Nursing</t>
        </is>
      </c>
      <c r="K155" s="20" t="inlineStr">
        <is>
          <t>New record type per care pathway.</t>
        </is>
      </c>
      <c r="L155" s="20" t="inlineStr">
        <is>
          <t>PROPOSED (v3)</t>
        </is>
      </c>
    </row>
    <row r="156">
      <c r="A156" s="20" t="inlineStr">
        <is>
          <t>Referrals</t>
        </is>
      </c>
      <c r="B156" s="20" t="inlineStr">
        <is>
          <t>Referrals</t>
        </is>
      </c>
      <c r="C156" s="20" t="inlineStr">
        <is>
          <t>referral_status</t>
        </is>
      </c>
      <c r="D156" s="20" t="inlineStr">
        <is>
          <t>Status</t>
        </is>
      </c>
      <c r="E156" s="20" t="inlineStr">
        <is>
          <t>dropdown</t>
        </is>
      </c>
      <c r="F156" s="20" t="inlineStr">
        <is>
          <t>Repeating row field</t>
        </is>
      </c>
      <c r="G156" s="20" t="inlineStr">
        <is>
          <t>categorical</t>
        </is>
      </c>
      <c r="H156" s="20" t="inlineStr">
        <is>
          <t>No</t>
        </is>
      </c>
      <c r="I156" s="20" t="inlineStr">
        <is>
          <t>No</t>
        </is>
      </c>
      <c r="J156" s="20" t="inlineStr">
        <is>
          <t>Referred | Seen | Declined | Pending</t>
        </is>
      </c>
      <c r="K156" s="20" t="inlineStr">
        <is>
          <t>New record type per care pathway.</t>
        </is>
      </c>
      <c r="L156" s="20" t="inlineStr">
        <is>
          <t>PROPOSED (v3)</t>
        </is>
      </c>
    </row>
    <row r="157">
      <c r="A157" s="20" t="inlineStr">
        <is>
          <t>Visits</t>
        </is>
      </c>
      <c r="B157" s="20" t="inlineStr">
        <is>
          <t>Visits</t>
        </is>
      </c>
      <c r="C157" s="20" t="inlineStr">
        <is>
          <t>patient_code</t>
        </is>
      </c>
      <c r="D157" s="20" t="inlineStr">
        <is>
          <t>Unique Patient Code</t>
        </is>
      </c>
      <c r="E157" s="20" t="inlineStr">
        <is>
          <t>text</t>
        </is>
      </c>
      <c r="F157" s="20" t="inlineStr">
        <is>
          <t>Repeating row key</t>
        </is>
      </c>
      <c r="G157" s="20" t="inlineStr">
        <is>
          <t>text</t>
        </is>
      </c>
      <c r="H157" s="20" t="inlineStr">
        <is>
          <t>No</t>
        </is>
      </c>
      <c r="I157" s="20" t="inlineStr">
        <is>
          <t>Yes</t>
        </is>
      </c>
      <c r="J157" s="20" t="inlineStr"/>
      <c r="K157" s="20" t="inlineStr">
        <is>
          <t>Visits recur; each treatment plan is a dated version.</t>
        </is>
      </c>
      <c r="L157" s="20" t="inlineStr">
        <is>
          <t>PROPOSED (v3)</t>
        </is>
      </c>
    </row>
    <row r="158">
      <c r="A158" s="20" t="inlineStr">
        <is>
          <t>Visits</t>
        </is>
      </c>
      <c r="B158" s="20" t="inlineStr">
        <is>
          <t>Visits</t>
        </is>
      </c>
      <c r="C158" s="20" t="inlineStr">
        <is>
          <t>visit_date</t>
        </is>
      </c>
      <c r="D158" s="20" t="inlineStr">
        <is>
          <t>Visit Date</t>
        </is>
      </c>
      <c r="E158" s="20" t="inlineStr">
        <is>
          <t>date</t>
        </is>
      </c>
      <c r="F158" s="20" t="inlineStr">
        <is>
          <t>Repeating row field</t>
        </is>
      </c>
      <c r="G158" s="20" t="inlineStr">
        <is>
          <t>date</t>
        </is>
      </c>
      <c r="H158" s="20" t="inlineStr">
        <is>
          <t>No</t>
        </is>
      </c>
      <c r="I158" s="20" t="inlineStr">
        <is>
          <t>Yes</t>
        </is>
      </c>
      <c r="J158" s="20" t="inlineStr">
        <is>
          <t>yyyy-mm-dd</t>
        </is>
      </c>
      <c r="K158" s="20" t="inlineStr">
        <is>
          <t>Visits recur; each treatment plan is a dated version.</t>
        </is>
      </c>
      <c r="L158" s="20" t="inlineStr">
        <is>
          <t>PROPOSED (v3)</t>
        </is>
      </c>
    </row>
    <row r="159">
      <c r="A159" s="20" t="inlineStr">
        <is>
          <t>Visits</t>
        </is>
      </c>
      <c r="B159" s="20" t="inlineStr">
        <is>
          <t>Visits</t>
        </is>
      </c>
      <c r="C159" s="20" t="inlineStr">
        <is>
          <t>visit_type</t>
        </is>
      </c>
      <c r="D159" s="20" t="inlineStr">
        <is>
          <t>Visit Type</t>
        </is>
      </c>
      <c r="E159" s="20" t="inlineStr">
        <is>
          <t>dropdown</t>
        </is>
      </c>
      <c r="F159" s="20" t="inlineStr">
        <is>
          <t>Repeating row field</t>
        </is>
      </c>
      <c r="G159" s="20" t="inlineStr">
        <is>
          <t>categorical</t>
        </is>
      </c>
      <c r="H159" s="20" t="inlineStr">
        <is>
          <t>No</t>
        </is>
      </c>
      <c r="I159" s="20" t="inlineStr">
        <is>
          <t>No</t>
        </is>
      </c>
      <c r="J159" s="20" t="inlineStr">
        <is>
          <t>First consultation | Follow-up review | Treatment / day-care | MDT review | Investigation only | Emergency / unplanned | Telemedicine</t>
        </is>
      </c>
      <c r="K159" s="20" t="inlineStr">
        <is>
          <t>Visits recur; each treatment plan is a dated version.</t>
        </is>
      </c>
      <c r="L159" s="20" t="inlineStr">
        <is>
          <t>PROPOSED (v3)</t>
        </is>
      </c>
    </row>
    <row r="160">
      <c r="A160" s="20" t="inlineStr">
        <is>
          <t>Visits</t>
        </is>
      </c>
      <c r="B160" s="20" t="inlineStr">
        <is>
          <t>Visits</t>
        </is>
      </c>
      <c r="C160" s="20" t="inlineStr">
        <is>
          <t>seen_by</t>
        </is>
      </c>
      <c r="D160" s="20" t="inlineStr">
        <is>
          <t>Seen By (clinician)</t>
        </is>
      </c>
      <c r="E160" s="20" t="inlineStr">
        <is>
          <t>text</t>
        </is>
      </c>
      <c r="F160" s="20" t="inlineStr">
        <is>
          <t>Repeating row field</t>
        </is>
      </c>
      <c r="G160" s="20" t="inlineStr">
        <is>
          <t>text</t>
        </is>
      </c>
      <c r="H160" s="20" t="inlineStr">
        <is>
          <t>No</t>
        </is>
      </c>
      <c r="I160" s="20" t="inlineStr">
        <is>
          <t>No</t>
        </is>
      </c>
      <c r="J160" s="20" t="inlineStr"/>
      <c r="K160" s="20" t="inlineStr">
        <is>
          <t>Visits recur; each treatment plan is a dated version.</t>
        </is>
      </c>
      <c r="L160" s="20" t="inlineStr">
        <is>
          <t>PROPOSED (v3)</t>
        </is>
      </c>
    </row>
    <row r="161">
      <c r="A161" s="20" t="inlineStr">
        <is>
          <t>Visits</t>
        </is>
      </c>
      <c r="B161" s="20" t="inlineStr">
        <is>
          <t>Visits</t>
        </is>
      </c>
      <c r="C161" s="20" t="inlineStr">
        <is>
          <t>disease_state_at_visit</t>
        </is>
      </c>
      <c r="D161" s="20" t="inlineStr">
        <is>
          <t>Disease State at Visit</t>
        </is>
      </c>
      <c r="E161" s="20" t="inlineStr">
        <is>
          <t>dropdown</t>
        </is>
      </c>
      <c r="F161" s="20" t="inlineStr">
        <is>
          <t>Repeating row field</t>
        </is>
      </c>
      <c r="G161" s="20" t="inlineStr">
        <is>
          <t>categorical</t>
        </is>
      </c>
      <c r="H161" s="20" t="inlineStr">
        <is>
          <t>No</t>
        </is>
      </c>
      <c r="I161" s="20" t="inlineStr">
        <is>
          <t>No</t>
        </is>
      </c>
      <c r="J161" s="20" t="inlineStr">
        <is>
          <t>Localized — on active surveillance | Localized / locally advanced — on curative treatment | mHSPC (metastatic hormone-sensitive) | mCRPC (metastatic castration-resistant) | On radioligand therapy (Pluvicto) | Long-term survivor / surveillance</t>
        </is>
      </c>
      <c r="K161" s="20" t="inlineStr">
        <is>
          <t>Visits recur; each treatment plan is a dated version.</t>
        </is>
      </c>
      <c r="L161" s="20" t="inlineStr">
        <is>
          <t>PROPOSED (v3)</t>
        </is>
      </c>
    </row>
    <row r="162">
      <c r="A162" s="20" t="inlineStr">
        <is>
          <t>Visits</t>
        </is>
      </c>
      <c r="B162" s="20" t="inlineStr">
        <is>
          <t>Visits</t>
        </is>
      </c>
      <c r="C162" s="20" t="inlineStr">
        <is>
          <t>visit_reason</t>
        </is>
      </c>
      <c r="D162" s="20" t="inlineStr">
        <is>
          <t>Reason for Visit</t>
        </is>
      </c>
      <c r="E162" s="20" t="inlineStr">
        <is>
          <t>text</t>
        </is>
      </c>
      <c r="F162" s="20" t="inlineStr">
        <is>
          <t>Repeating row field</t>
        </is>
      </c>
      <c r="G162" s="20" t="inlineStr">
        <is>
          <t>text</t>
        </is>
      </c>
      <c r="H162" s="20" t="inlineStr">
        <is>
          <t>No</t>
        </is>
      </c>
      <c r="I162" s="20" t="inlineStr">
        <is>
          <t>No</t>
        </is>
      </c>
      <c r="J162" s="20" t="inlineStr"/>
      <c r="K162" s="20" t="inlineStr">
        <is>
          <t>Visits recur; each treatment plan is a dated version.</t>
        </is>
      </c>
      <c r="L162" s="20" t="inlineStr">
        <is>
          <t>PROPOSED (v3)</t>
        </is>
      </c>
    </row>
    <row r="163">
      <c r="A163" s="20" t="inlineStr">
        <is>
          <t>Visits</t>
        </is>
      </c>
      <c r="B163" s="20" t="inlineStr">
        <is>
          <t>Visits</t>
        </is>
      </c>
      <c r="C163" s="20" t="inlineStr">
        <is>
          <t>visit_outcome</t>
        </is>
      </c>
      <c r="D163" s="20" t="inlineStr">
        <is>
          <t>Visit Outcome</t>
        </is>
      </c>
      <c r="E163" s="20" t="inlineStr">
        <is>
          <t>dropdown</t>
        </is>
      </c>
      <c r="F163" s="20" t="inlineStr">
        <is>
          <t>Repeating row field</t>
        </is>
      </c>
      <c r="G163" s="20" t="inlineStr">
        <is>
          <t>categorical</t>
        </is>
      </c>
      <c r="H163" s="20" t="inlineStr">
        <is>
          <t>No</t>
        </is>
      </c>
      <c r="I163" s="20" t="inlineStr">
        <is>
          <t>No</t>
        </is>
      </c>
      <c r="J163" s="20" t="inlineStr">
        <is>
          <t>Continue current plan | Treatment plan changed | Referred to another service | Admitted | Discharged from follow-up | Deceased</t>
        </is>
      </c>
      <c r="K163" s="20" t="inlineStr">
        <is>
          <t>Visits recur; each treatment plan is a dated version.</t>
        </is>
      </c>
      <c r="L163" s="20" t="inlineStr">
        <is>
          <t>PROPOSED (v3)</t>
        </is>
      </c>
    </row>
    <row r="164">
      <c r="A164" s="20" t="inlineStr">
        <is>
          <t>Visits</t>
        </is>
      </c>
      <c r="B164" s="20" t="inlineStr">
        <is>
          <t>Visits</t>
        </is>
      </c>
      <c r="C164" s="20" t="inlineStr">
        <is>
          <t>next_visit_due_date</t>
        </is>
      </c>
      <c r="D164" s="20" t="inlineStr">
        <is>
          <t>Next Visit Due</t>
        </is>
      </c>
      <c r="E164" s="20" t="inlineStr">
        <is>
          <t>date</t>
        </is>
      </c>
      <c r="F164" s="20" t="inlineStr">
        <is>
          <t>Repeating row field</t>
        </is>
      </c>
      <c r="G164" s="20" t="inlineStr">
        <is>
          <t>date</t>
        </is>
      </c>
      <c r="H164" s="20" t="inlineStr">
        <is>
          <t>No</t>
        </is>
      </c>
      <c r="I164" s="20" t="inlineStr">
        <is>
          <t>No</t>
        </is>
      </c>
      <c r="J164" s="20" t="inlineStr">
        <is>
          <t>yyyy-mm-dd</t>
        </is>
      </c>
      <c r="K164" s="20" t="inlineStr">
        <is>
          <t>Visits recur; each treatment plan is a dated version.</t>
        </is>
      </c>
      <c r="L164" s="20" t="inlineStr">
        <is>
          <t>PROPOSED (v3)</t>
        </is>
      </c>
    </row>
    <row r="165">
      <c r="A165" s="20" t="inlineStr">
        <is>
          <t>Visits</t>
        </is>
      </c>
      <c r="B165" s="20" t="inlineStr">
        <is>
          <t>Visits</t>
        </is>
      </c>
      <c r="C165" s="20" t="inlineStr">
        <is>
          <t>visit_notes</t>
        </is>
      </c>
      <c r="D165" s="20" t="inlineStr">
        <is>
          <t>Notes</t>
        </is>
      </c>
      <c r="E165" s="20" t="inlineStr">
        <is>
          <t>text</t>
        </is>
      </c>
      <c r="F165" s="20" t="inlineStr">
        <is>
          <t>Repeating row field</t>
        </is>
      </c>
      <c r="G165" s="20" t="inlineStr">
        <is>
          <t>text</t>
        </is>
      </c>
      <c r="H165" s="20" t="inlineStr">
        <is>
          <t>No</t>
        </is>
      </c>
      <c r="I165" s="20" t="inlineStr">
        <is>
          <t>No</t>
        </is>
      </c>
      <c r="J165" s="20" t="inlineStr"/>
      <c r="K165" s="20" t="inlineStr">
        <is>
          <t>Visits recur; each treatment plan is a dated version.</t>
        </is>
      </c>
      <c r="L165" s="20" t="inlineStr">
        <is>
          <t>PROPOSED (v3)</t>
        </is>
      </c>
    </row>
    <row r="166">
      <c r="A166" s="20" t="inlineStr">
        <is>
          <t>Treatment_Plans</t>
        </is>
      </c>
      <c r="B166" s="20" t="inlineStr">
        <is>
          <t>Treatment Plans</t>
        </is>
      </c>
      <c r="C166" s="20" t="inlineStr">
        <is>
          <t>patient_code</t>
        </is>
      </c>
      <c r="D166" s="20" t="inlineStr">
        <is>
          <t>Unique Patient Code</t>
        </is>
      </c>
      <c r="E166" s="20" t="inlineStr">
        <is>
          <t>text</t>
        </is>
      </c>
      <c r="F166" s="20" t="inlineStr">
        <is>
          <t>Repeating row key</t>
        </is>
      </c>
      <c r="G166" s="20" t="inlineStr">
        <is>
          <t>text</t>
        </is>
      </c>
      <c r="H166" s="20" t="inlineStr">
        <is>
          <t>No</t>
        </is>
      </c>
      <c r="I166" s="20" t="inlineStr">
        <is>
          <t>Yes</t>
        </is>
      </c>
      <c r="J166" s="20" t="inlineStr"/>
      <c r="K166" s="20" t="inlineStr">
        <is>
          <t>Visits recur; each treatment plan is a dated version.</t>
        </is>
      </c>
      <c r="L166" s="20" t="inlineStr">
        <is>
          <t>PROPOSED (v3)</t>
        </is>
      </c>
    </row>
    <row r="167">
      <c r="A167" s="20" t="inlineStr">
        <is>
          <t>Treatment_Plans</t>
        </is>
      </c>
      <c r="B167" s="20" t="inlineStr">
        <is>
          <t>Treatment Plans</t>
        </is>
      </c>
      <c r="C167" s="20" t="inlineStr">
        <is>
          <t>plan_date</t>
        </is>
      </c>
      <c r="D167" s="20" t="inlineStr">
        <is>
          <t>Plan Date</t>
        </is>
      </c>
      <c r="E167" s="20" t="inlineStr">
        <is>
          <t>date</t>
        </is>
      </c>
      <c r="F167" s="20" t="inlineStr">
        <is>
          <t>Repeating row field</t>
        </is>
      </c>
      <c r="G167" s="20" t="inlineStr">
        <is>
          <t>date</t>
        </is>
      </c>
      <c r="H167" s="20" t="inlineStr">
        <is>
          <t>No</t>
        </is>
      </c>
      <c r="I167" s="20" t="inlineStr">
        <is>
          <t>Yes</t>
        </is>
      </c>
      <c r="J167" s="20" t="inlineStr">
        <is>
          <t>yyyy-mm-dd</t>
        </is>
      </c>
      <c r="K167" s="20" t="inlineStr">
        <is>
          <t>Visits recur; each treatment plan is a dated version.</t>
        </is>
      </c>
      <c r="L167" s="20" t="inlineStr">
        <is>
          <t>PROPOSED (v3)</t>
        </is>
      </c>
    </row>
    <row r="168">
      <c r="A168" s="20" t="inlineStr">
        <is>
          <t>Treatment_Plans</t>
        </is>
      </c>
      <c r="B168" s="20" t="inlineStr">
        <is>
          <t>Treatment Plans</t>
        </is>
      </c>
      <c r="C168" s="20" t="inlineStr">
        <is>
          <t>line_of_therapy</t>
        </is>
      </c>
      <c r="D168" s="20" t="inlineStr">
        <is>
          <t>Line of Therapy</t>
        </is>
      </c>
      <c r="E168" s="20" t="inlineStr">
        <is>
          <t>dropdown</t>
        </is>
      </c>
      <c r="F168" s="20" t="inlineStr">
        <is>
          <t>Repeating row field</t>
        </is>
      </c>
      <c r="G168" s="20" t="inlineStr">
        <is>
          <t>categorical</t>
        </is>
      </c>
      <c r="H168" s="20" t="inlineStr">
        <is>
          <t>No</t>
        </is>
      </c>
      <c r="I168" s="20" t="inlineStr">
        <is>
          <t>No</t>
        </is>
      </c>
      <c r="J168" s="20" t="inlineStr">
        <is>
          <t>1st line | 2nd line | 3rd line | 4th line or later</t>
        </is>
      </c>
      <c r="K168" s="20" t="inlineStr">
        <is>
          <t>Visits recur; each treatment plan is a dated version.</t>
        </is>
      </c>
      <c r="L168" s="20" t="inlineStr">
        <is>
          <t>PROPOSED (v3)</t>
        </is>
      </c>
    </row>
    <row r="169">
      <c r="A169" s="20" t="inlineStr">
        <is>
          <t>Treatment_Plans</t>
        </is>
      </c>
      <c r="B169" s="20" t="inlineStr">
        <is>
          <t>Treatment Plans</t>
        </is>
      </c>
      <c r="C169" s="20" t="inlineStr">
        <is>
          <t>treatment_intent</t>
        </is>
      </c>
      <c r="D169" s="20" t="inlineStr">
        <is>
          <t>Treatment Intent</t>
        </is>
      </c>
      <c r="E169" s="20" t="inlineStr">
        <is>
          <t>dropdown</t>
        </is>
      </c>
      <c r="F169" s="20" t="inlineStr">
        <is>
          <t>Repeating row field</t>
        </is>
      </c>
      <c r="G169" s="20" t="inlineStr">
        <is>
          <t>categorical</t>
        </is>
      </c>
      <c r="H169" s="20" t="inlineStr">
        <is>
          <t>No</t>
        </is>
      </c>
      <c r="I169" s="20" t="inlineStr">
        <is>
          <t>No</t>
        </is>
      </c>
      <c r="J169" s="20" t="inlineStr">
        <is>
          <t>treatmentIntent</t>
        </is>
      </c>
      <c r="K169" s="20" t="inlineStr">
        <is>
          <t>Visits recur; each treatment plan is a dated version.</t>
        </is>
      </c>
      <c r="L169" s="20" t="inlineStr">
        <is>
          <t>PROPOSED (v3)</t>
        </is>
      </c>
    </row>
    <row r="170">
      <c r="A170" s="20" t="inlineStr">
        <is>
          <t>Treatment_Plans</t>
        </is>
      </c>
      <c r="B170" s="20" t="inlineStr">
        <is>
          <t>Treatment Plans</t>
        </is>
      </c>
      <c r="C170" s="20" t="inlineStr">
        <is>
          <t>mdt_tumour_board_status</t>
        </is>
      </c>
      <c r="D170" s="20" t="inlineStr">
        <is>
          <t>MDT / Tumour Board Status</t>
        </is>
      </c>
      <c r="E170" s="20" t="inlineStr">
        <is>
          <t>dropdown</t>
        </is>
      </c>
      <c r="F170" s="20" t="inlineStr">
        <is>
          <t>Repeating row field</t>
        </is>
      </c>
      <c r="G170" s="20" t="inlineStr">
        <is>
          <t>categorical</t>
        </is>
      </c>
      <c r="H170" s="20" t="inlineStr">
        <is>
          <t>No</t>
        </is>
      </c>
      <c r="I170" s="20" t="inlineStr">
        <is>
          <t>No</t>
        </is>
      </c>
      <c r="J170" s="20" t="inlineStr">
        <is>
          <t>mdtStatus</t>
        </is>
      </c>
      <c r="K170" s="20" t="inlineStr">
        <is>
          <t>Visits recur; each treatment plan is a dated version.</t>
        </is>
      </c>
      <c r="L170" s="20" t="inlineStr">
        <is>
          <t>PROPOSED (v3)</t>
        </is>
      </c>
    </row>
    <row r="171">
      <c r="A171" s="20" t="inlineStr">
        <is>
          <t>Treatment_Plans</t>
        </is>
      </c>
      <c r="B171" s="20" t="inlineStr">
        <is>
          <t>Treatment Plans</t>
        </is>
      </c>
      <c r="C171" s="20" t="inlineStr">
        <is>
          <t>date_of_mdt_review</t>
        </is>
      </c>
      <c r="D171" s="20" t="inlineStr">
        <is>
          <t>Date of MDT Review</t>
        </is>
      </c>
      <c r="E171" s="20" t="inlineStr">
        <is>
          <t>date</t>
        </is>
      </c>
      <c r="F171" s="20" t="inlineStr">
        <is>
          <t>Repeating row field</t>
        </is>
      </c>
      <c r="G171" s="20" t="inlineStr">
        <is>
          <t>date</t>
        </is>
      </c>
      <c r="H171" s="20" t="inlineStr">
        <is>
          <t>No</t>
        </is>
      </c>
      <c r="I171" s="20" t="inlineStr">
        <is>
          <t>No</t>
        </is>
      </c>
      <c r="J171" s="20" t="inlineStr">
        <is>
          <t>yyyy-mm-dd</t>
        </is>
      </c>
      <c r="K171" s="20" t="inlineStr">
        <is>
          <t>Visits recur; each treatment plan is a dated version.</t>
        </is>
      </c>
      <c r="L171" s="20" t="inlineStr">
        <is>
          <t>PROPOSED (v3)</t>
        </is>
      </c>
    </row>
    <row r="172">
      <c r="A172" s="20" t="inlineStr">
        <is>
          <t>Treatment_Plans</t>
        </is>
      </c>
      <c r="B172" s="20" t="inlineStr">
        <is>
          <t>Treatment Plans</t>
        </is>
      </c>
      <c r="C172" s="20" t="inlineStr">
        <is>
          <t>reason_for_plan_change</t>
        </is>
      </c>
      <c r="D172" s="20" t="inlineStr">
        <is>
          <t>Reason for This Plan</t>
        </is>
      </c>
      <c r="E172" s="20" t="inlineStr">
        <is>
          <t>dropdown</t>
        </is>
      </c>
      <c r="F172" s="20" t="inlineStr">
        <is>
          <t>Repeating row field</t>
        </is>
      </c>
      <c r="G172" s="20" t="inlineStr">
        <is>
          <t>categorical</t>
        </is>
      </c>
      <c r="H172" s="20" t="inlineStr">
        <is>
          <t>No</t>
        </is>
      </c>
      <c r="I172" s="20" t="inlineStr">
        <is>
          <t>No</t>
        </is>
      </c>
      <c r="J172" s="20" t="inlineStr">
        <is>
          <t>Initial plan | Disease progression | Toxicity / intolerance | Patient preference | Access / affordability | Completed planned course | Comorbidity</t>
        </is>
      </c>
      <c r="K172" s="20" t="inlineStr">
        <is>
          <t>Visits recur; each treatment plan is a dated version.</t>
        </is>
      </c>
      <c r="L172" s="20" t="inlineStr">
        <is>
          <t>PROPOSED (v3)</t>
        </is>
      </c>
    </row>
    <row r="173">
      <c r="A173" s="20" t="inlineStr">
        <is>
          <t>Treatment_Plans</t>
        </is>
      </c>
      <c r="B173" s="20" t="inlineStr">
        <is>
          <t>Treatment Plans</t>
        </is>
      </c>
      <c r="C173" s="20" t="inlineStr">
        <is>
          <t>plan_status</t>
        </is>
      </c>
      <c r="D173" s="20" t="inlineStr">
        <is>
          <t>Plan Status</t>
        </is>
      </c>
      <c r="E173" s="20" t="inlineStr">
        <is>
          <t>dropdown</t>
        </is>
      </c>
      <c r="F173" s="20" t="inlineStr">
        <is>
          <t>Repeating row field</t>
        </is>
      </c>
      <c r="G173" s="20" t="inlineStr">
        <is>
          <t>categorical</t>
        </is>
      </c>
      <c r="H173" s="20" t="inlineStr">
        <is>
          <t>No</t>
        </is>
      </c>
      <c r="I173" s="20" t="inlineStr">
        <is>
          <t>No</t>
        </is>
      </c>
      <c r="J173" s="20" t="inlineStr">
        <is>
          <t>Active | Superseded | Completed | Stopped — toxicity | Stopped — patient choice</t>
        </is>
      </c>
      <c r="K173" s="20" t="inlineStr">
        <is>
          <t>Visits recur; each treatment plan is a dated version.</t>
        </is>
      </c>
      <c r="L173" s="20" t="inlineStr">
        <is>
          <t>PROPOSED (v3)</t>
        </is>
      </c>
    </row>
    <row r="174">
      <c r="A174" s="20" t="inlineStr">
        <is>
          <t>Treatment_Plans</t>
        </is>
      </c>
      <c r="B174" s="20" t="inlineStr">
        <is>
          <t>Treatment Plans</t>
        </is>
      </c>
      <c r="C174" s="20" t="inlineStr">
        <is>
          <t>plan_summary</t>
        </is>
      </c>
      <c r="D174" s="20" t="inlineStr">
        <is>
          <t>Plan Summary</t>
        </is>
      </c>
      <c r="E174" s="20" t="inlineStr">
        <is>
          <t>text</t>
        </is>
      </c>
      <c r="F174" s="20" t="inlineStr">
        <is>
          <t>Repeating row field</t>
        </is>
      </c>
      <c r="G174" s="20" t="inlineStr">
        <is>
          <t>text</t>
        </is>
      </c>
      <c r="H174" s="20" t="inlineStr">
        <is>
          <t>No</t>
        </is>
      </c>
      <c r="I174" s="20" t="inlineStr">
        <is>
          <t>No</t>
        </is>
      </c>
      <c r="J174" s="20" t="inlineStr"/>
      <c r="K174" s="20" t="inlineStr">
        <is>
          <t>Visits recur; each treatment plan is a dated version.</t>
        </is>
      </c>
      <c r="L174" s="20" t="inlineStr">
        <is>
          <t>PROPOSED (v3)</t>
        </is>
      </c>
    </row>
    <row r="175">
      <c r="A175" s="20" t="inlineStr">
        <is>
          <t>PSA_History</t>
        </is>
      </c>
      <c r="B175" s="20" t="inlineStr">
        <is>
          <t>PSA History &amp; Trend</t>
        </is>
      </c>
      <c r="C175" s="20" t="inlineStr">
        <is>
          <t>visit_id</t>
        </is>
      </c>
      <c r="D175" s="20" t="inlineStr">
        <is>
          <t>Visit (optional link)</t>
        </is>
      </c>
      <c r="E175" s="20" t="inlineStr">
        <is>
          <t>dropdown</t>
        </is>
      </c>
      <c r="F175" s="20" t="inlineStr">
        <is>
          <t>Single column</t>
        </is>
      </c>
      <c r="G175" s="20" t="inlineStr">
        <is>
          <t>text</t>
        </is>
      </c>
      <c r="H175" s="20" t="inlineStr">
        <is>
          <t>No</t>
        </is>
      </c>
      <c r="I175" s="20" t="inlineStr">
        <is>
          <t>No</t>
        </is>
      </c>
      <c r="J175" s="20" t="inlineStr">
        <is>
          <t>Reference to a row in Visits</t>
        </is>
      </c>
      <c r="K175" s="20" t="inlineStr">
        <is>
          <t>OPTIONAL — groups everything captured at one visit. Entries are valid without it (registry backfill).</t>
        </is>
      </c>
      <c r="L175" s="20" t="inlineStr">
        <is>
          <t>PROPOSED (v3)</t>
        </is>
      </c>
    </row>
    <row r="176">
      <c r="A176" s="20" t="inlineStr">
        <is>
          <t>Clinical_Entry</t>
        </is>
      </c>
      <c r="B176" s="20" t="inlineStr">
        <is>
          <t>Workbook Linkage</t>
        </is>
      </c>
      <c r="C176" s="20" t="inlineStr">
        <is>
          <t>visit_id</t>
        </is>
      </c>
      <c r="D176" s="20" t="inlineStr">
        <is>
          <t>Visit (optional link)</t>
        </is>
      </c>
      <c r="E176" s="20" t="inlineStr">
        <is>
          <t>dropdown</t>
        </is>
      </c>
      <c r="F176" s="20" t="inlineStr">
        <is>
          <t>Single column</t>
        </is>
      </c>
      <c r="G176" s="20" t="inlineStr">
        <is>
          <t>text</t>
        </is>
      </c>
      <c r="H176" s="20" t="inlineStr">
        <is>
          <t>No</t>
        </is>
      </c>
      <c r="I176" s="20" t="inlineStr">
        <is>
          <t>No</t>
        </is>
      </c>
      <c r="J176" s="20" t="inlineStr">
        <is>
          <t>Reference to a row in Visits</t>
        </is>
      </c>
      <c r="K176" s="20" t="inlineStr">
        <is>
          <t>OPTIONAL — groups everything captured at one visit. Entries are valid without it (registry backfill).</t>
        </is>
      </c>
      <c r="L176" s="20" t="inlineStr">
        <is>
          <t>PROPOSED (v3)</t>
        </is>
      </c>
    </row>
    <row r="177">
      <c r="A177" s="20" t="inlineStr">
        <is>
          <t>Treatment_Entry</t>
        </is>
      </c>
      <c r="B177" s="20" t="inlineStr">
        <is>
          <t>Workbook Linkage</t>
        </is>
      </c>
      <c r="C177" s="20" t="inlineStr">
        <is>
          <t>visit_id</t>
        </is>
      </c>
      <c r="D177" s="20" t="inlineStr">
        <is>
          <t>Visit (optional link)</t>
        </is>
      </c>
      <c r="E177" s="20" t="inlineStr">
        <is>
          <t>dropdown</t>
        </is>
      </c>
      <c r="F177" s="20" t="inlineStr">
        <is>
          <t>Single column</t>
        </is>
      </c>
      <c r="G177" s="20" t="inlineStr">
        <is>
          <t>text</t>
        </is>
      </c>
      <c r="H177" s="20" t="inlineStr">
        <is>
          <t>No</t>
        </is>
      </c>
      <c r="I177" s="20" t="inlineStr">
        <is>
          <t>No</t>
        </is>
      </c>
      <c r="J177" s="20" t="inlineStr">
        <is>
          <t>Reference to a row in Visits</t>
        </is>
      </c>
      <c r="K177" s="20" t="inlineStr">
        <is>
          <t>OPTIONAL — groups everything captured at one visit. Entries are valid without it (registry backfill).</t>
        </is>
      </c>
      <c r="L177" s="20" t="inlineStr">
        <is>
          <t>PROPOSED (v3)</t>
        </is>
      </c>
    </row>
    <row r="178">
      <c r="A178" s="20" t="inlineStr">
        <is>
          <t>Journey_Events</t>
        </is>
      </c>
      <c r="B178" s="20" t="inlineStr">
        <is>
          <t>Patient Journey</t>
        </is>
      </c>
      <c r="C178" s="20" t="inlineStr">
        <is>
          <t>visit_id</t>
        </is>
      </c>
      <c r="D178" s="20" t="inlineStr">
        <is>
          <t>Visit (optional link)</t>
        </is>
      </c>
      <c r="E178" s="20" t="inlineStr">
        <is>
          <t>dropdown</t>
        </is>
      </c>
      <c r="F178" s="20" t="inlineStr">
        <is>
          <t>Single column</t>
        </is>
      </c>
      <c r="G178" s="20" t="inlineStr">
        <is>
          <t>text</t>
        </is>
      </c>
      <c r="H178" s="20" t="inlineStr">
        <is>
          <t>No</t>
        </is>
      </c>
      <c r="I178" s="20" t="inlineStr">
        <is>
          <t>No</t>
        </is>
      </c>
      <c r="J178" s="20" t="inlineStr">
        <is>
          <t>Reference to a row in Visits</t>
        </is>
      </c>
      <c r="K178" s="20" t="inlineStr">
        <is>
          <t>OPTIONAL — groups everything captured at one visit. Entries are valid without it (registry backfill).</t>
        </is>
      </c>
      <c r="L178" s="20" t="inlineStr">
        <is>
          <t>PROPOSED (v3)</t>
        </is>
      </c>
    </row>
    <row r="179">
      <c r="A179" s="20" t="inlineStr">
        <is>
          <t>Lab_Results</t>
        </is>
      </c>
      <c r="B179" s="20" t="inlineStr">
        <is>
          <t>Lab Results</t>
        </is>
      </c>
      <c r="C179" s="20" t="inlineStr">
        <is>
          <t>visit_id</t>
        </is>
      </c>
      <c r="D179" s="20" t="inlineStr">
        <is>
          <t>Visit (optional link)</t>
        </is>
      </c>
      <c r="E179" s="20" t="inlineStr">
        <is>
          <t>dropdown</t>
        </is>
      </c>
      <c r="F179" s="20" t="inlineStr">
        <is>
          <t>Single column</t>
        </is>
      </c>
      <c r="G179" s="20" t="inlineStr">
        <is>
          <t>text</t>
        </is>
      </c>
      <c r="H179" s="20" t="inlineStr">
        <is>
          <t>No</t>
        </is>
      </c>
      <c r="I179" s="20" t="inlineStr">
        <is>
          <t>No</t>
        </is>
      </c>
      <c r="J179" s="20" t="inlineStr">
        <is>
          <t>Reference to a row in Visits</t>
        </is>
      </c>
      <c r="K179" s="20" t="inlineStr">
        <is>
          <t>OPTIONAL — groups everything captured at one visit. Entries are valid without it (registry backfill).</t>
        </is>
      </c>
      <c r="L179" s="20" t="inlineStr">
        <is>
          <t>PROPOSED (v3)</t>
        </is>
      </c>
    </row>
    <row r="180">
      <c r="A180" s="20" t="inlineStr">
        <is>
          <t>Adverse_Events</t>
        </is>
      </c>
      <c r="B180" s="20" t="inlineStr">
        <is>
          <t>Adverse Events</t>
        </is>
      </c>
      <c r="C180" s="20" t="inlineStr">
        <is>
          <t>visit_id</t>
        </is>
      </c>
      <c r="D180" s="20" t="inlineStr">
        <is>
          <t>Visit (optional link)</t>
        </is>
      </c>
      <c r="E180" s="20" t="inlineStr">
        <is>
          <t>dropdown</t>
        </is>
      </c>
      <c r="F180" s="20" t="inlineStr">
        <is>
          <t>Single column</t>
        </is>
      </c>
      <c r="G180" s="20" t="inlineStr">
        <is>
          <t>text</t>
        </is>
      </c>
      <c r="H180" s="20" t="inlineStr">
        <is>
          <t>No</t>
        </is>
      </c>
      <c r="I180" s="20" t="inlineStr">
        <is>
          <t>No</t>
        </is>
      </c>
      <c r="J180" s="20" t="inlineStr">
        <is>
          <t>Reference to a row in Visits</t>
        </is>
      </c>
      <c r="K180" s="20" t="inlineStr">
        <is>
          <t>OPTIONAL — groups everything captured at one visit. Entries are valid without it (registry backfill).</t>
        </is>
      </c>
      <c r="L180" s="20" t="inlineStr">
        <is>
          <t>PROPOSED (v3)</t>
        </is>
      </c>
    </row>
  </sheetData>
  <mergeCells count="2">
    <mergeCell ref="A2:K2"/>
    <mergeCell ref="A1:K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411"/>
  <sheetViews>
    <sheetView showGridLines="0" topLeftCell="A99" zoomScale="90" zoomScaleNormal="90" workbookViewId="0">
      <selection activeCell="E118" sqref="E118"/>
    </sheetView>
  </sheetViews>
  <sheetFormatPr baseColWidth="8" defaultColWidth="8.875" defaultRowHeight="14.25"/>
  <cols>
    <col width="30" customWidth="1" min="1" max="1"/>
    <col width="14" customWidth="1" min="2" max="2"/>
    <col width="40" customWidth="1" min="3" max="3"/>
    <col width="55" customWidth="1" min="4" max="4"/>
  </cols>
  <sheetData>
    <row r="1" ht="15.75" customHeight="1">
      <c r="A1" s="12" t="inlineStr">
        <is>
          <t>Value Lists</t>
        </is>
      </c>
    </row>
    <row r="2">
      <c r="A2" s="13" t="inlineStr">
        <is>
          <t>Reference sheet for every dropdown or Yes/No option set used by the entry tabs. The entry tabs use inline validations, but this sheet keeps the lists visible for review.</t>
        </is>
      </c>
    </row>
    <row r="4" ht="15" customHeight="1">
      <c r="A4" s="2" t="inlineStr">
        <is>
          <t>List Name</t>
        </is>
      </c>
      <c r="B4" s="2" t="inlineStr">
        <is>
          <t>Option Order</t>
        </is>
      </c>
      <c r="C4" s="2" t="inlineStr">
        <is>
          <t>Option Value</t>
        </is>
      </c>
      <c r="D4" s="2" t="inlineStr">
        <is>
          <t>Control Notes</t>
        </is>
      </c>
    </row>
    <row r="5">
      <c r="A5" s="14" t="inlineStr">
        <is>
          <t>yesNo</t>
        </is>
      </c>
      <c r="B5" s="14" t="n">
        <v>1</v>
      </c>
      <c r="C5" s="14" t="n"/>
      <c r="D5" s="14" t="inlineStr">
        <is>
          <t>Used for multi-select chip flags in workbook form.</t>
        </is>
      </c>
    </row>
    <row r="6">
      <c r="A6" s="14" t="inlineStr">
        <is>
          <t>yesNo</t>
        </is>
      </c>
      <c r="B6" s="14" t="n">
        <v>2</v>
      </c>
      <c r="C6" s="14" t="inlineStr">
        <is>
          <t>Yes</t>
        </is>
      </c>
      <c r="D6" s="14" t="inlineStr">
        <is>
          <t>Used for multi-select chip flags in workbook form.</t>
        </is>
      </c>
    </row>
    <row r="7">
      <c r="A7" s="14" t="inlineStr">
        <is>
          <t>yesNo</t>
        </is>
      </c>
      <c r="B7" s="14" t="n">
        <v>3</v>
      </c>
      <c r="C7" s="14" t="inlineStr">
        <is>
          <t>No</t>
        </is>
      </c>
      <c r="D7" s="14" t="inlineStr">
        <is>
          <t>Used for multi-select chip flags in workbook form.</t>
        </is>
      </c>
    </row>
    <row r="8">
      <c r="A8" s="14" t="inlineStr">
        <is>
          <t>languagePreference</t>
        </is>
      </c>
      <c r="B8" s="14" t="n">
        <v>1</v>
      </c>
      <c r="C8" s="14" t="inlineStr">
        <is>
          <t>Hindi</t>
        </is>
      </c>
      <c r="D8" s="14" t="inlineStr">
        <is>
          <t>Used as dropdown values.</t>
        </is>
      </c>
    </row>
    <row r="9">
      <c r="A9" s="14" t="inlineStr">
        <is>
          <t>languagePreference</t>
        </is>
      </c>
      <c r="B9" s="14" t="n">
        <v>2</v>
      </c>
      <c r="C9" s="14" t="inlineStr">
        <is>
          <t>English</t>
        </is>
      </c>
      <c r="D9" s="14" t="inlineStr">
        <is>
          <t>Used as dropdown values.</t>
        </is>
      </c>
    </row>
    <row r="10">
      <c r="A10" s="14" t="inlineStr">
        <is>
          <t>languagePreference</t>
        </is>
      </c>
      <c r="B10" s="14" t="n">
        <v>3</v>
      </c>
      <c r="C10" s="14" t="inlineStr">
        <is>
          <t>Tamil</t>
        </is>
      </c>
      <c r="D10" s="14" t="inlineStr">
        <is>
          <t>Used as dropdown values.</t>
        </is>
      </c>
    </row>
    <row r="11">
      <c r="A11" s="14" t="inlineStr">
        <is>
          <t>languagePreference</t>
        </is>
      </c>
      <c r="B11" s="14" t="n">
        <v>4</v>
      </c>
      <c r="C11" s="14" t="inlineStr">
        <is>
          <t>Telugu</t>
        </is>
      </c>
      <c r="D11" s="14" t="inlineStr">
        <is>
          <t>Used as dropdown values.</t>
        </is>
      </c>
    </row>
    <row r="12">
      <c r="A12" s="14" t="inlineStr">
        <is>
          <t>languagePreference</t>
        </is>
      </c>
      <c r="B12" s="14" t="n">
        <v>5</v>
      </c>
      <c r="C12" s="14" t="inlineStr">
        <is>
          <t>Bengali</t>
        </is>
      </c>
      <c r="D12" s="14" t="inlineStr">
        <is>
          <t>Used as dropdown values.</t>
        </is>
      </c>
    </row>
    <row r="13">
      <c r="A13" s="14" t="inlineStr">
        <is>
          <t>languagePreference</t>
        </is>
      </c>
      <c r="B13" s="14" t="n">
        <v>6</v>
      </c>
      <c r="C13" s="14" t="inlineStr">
        <is>
          <t>Marathi</t>
        </is>
      </c>
      <c r="D13" s="14" t="inlineStr">
        <is>
          <t>Used as dropdown values.</t>
        </is>
      </c>
    </row>
    <row r="14">
      <c r="A14" s="14" t="inlineStr">
        <is>
          <t>languagePreference</t>
        </is>
      </c>
      <c r="B14" s="14" t="n">
        <v>7</v>
      </c>
      <c r="C14" s="14" t="inlineStr">
        <is>
          <t>Kannada</t>
        </is>
      </c>
      <c r="D14" s="14" t="inlineStr">
        <is>
          <t>Used as dropdown values.</t>
        </is>
      </c>
    </row>
    <row r="15">
      <c r="A15" s="14" t="inlineStr">
        <is>
          <t>languagePreference</t>
        </is>
      </c>
      <c r="B15" s="14" t="n">
        <v>8</v>
      </c>
      <c r="C15" s="14" t="inlineStr">
        <is>
          <t>Malayalam</t>
        </is>
      </c>
      <c r="D15" s="14" t="inlineStr">
        <is>
          <t>Used as dropdown values.</t>
        </is>
      </c>
    </row>
    <row r="16">
      <c r="A16" s="14" t="inlineStr">
        <is>
          <t>languagePreference</t>
        </is>
      </c>
      <c r="B16" s="14" t="n">
        <v>9</v>
      </c>
      <c r="C16" s="14" t="inlineStr">
        <is>
          <t>Gujarati</t>
        </is>
      </c>
      <c r="D16" s="14" t="inlineStr">
        <is>
          <t>Used as dropdown values.</t>
        </is>
      </c>
    </row>
    <row r="17">
      <c r="A17" s="14" t="inlineStr">
        <is>
          <t>languagePreference</t>
        </is>
      </c>
      <c r="B17" s="14" t="n">
        <v>10</v>
      </c>
      <c r="C17" s="14" t="inlineStr">
        <is>
          <t>Punjabi</t>
        </is>
      </c>
      <c r="D17" s="14" t="inlineStr">
        <is>
          <t>Used as dropdown values.</t>
        </is>
      </c>
    </row>
    <row r="18">
      <c r="A18" s="14" t="inlineStr">
        <is>
          <t>languagePreference</t>
        </is>
      </c>
      <c r="B18" s="14" t="n">
        <v>11</v>
      </c>
      <c r="C18" s="14" t="inlineStr">
        <is>
          <t>Odia</t>
        </is>
      </c>
      <c r="D18" s="14" t="inlineStr">
        <is>
          <t>Used as dropdown values.</t>
        </is>
      </c>
    </row>
    <row r="19">
      <c r="A19" s="14" t="inlineStr">
        <is>
          <t>healthcareCoverage</t>
        </is>
      </c>
      <c r="B19" s="14" t="n">
        <v>1</v>
      </c>
      <c r="C19" s="14" t="inlineStr">
        <is>
          <t>PMJAY (Ayushman Bharat)</t>
        </is>
      </c>
      <c r="D19" s="14" t="inlineStr">
        <is>
          <t>Used as dropdown values.</t>
        </is>
      </c>
    </row>
    <row r="20">
      <c r="A20" s="14" t="inlineStr">
        <is>
          <t>healthcareCoverage</t>
        </is>
      </c>
      <c r="B20" s="14" t="n">
        <v>2</v>
      </c>
      <c r="C20" s="14" t="inlineStr">
        <is>
          <t>CGHS</t>
        </is>
      </c>
      <c r="D20" s="14" t="inlineStr">
        <is>
          <t>Used as dropdown values.</t>
        </is>
      </c>
    </row>
    <row r="21">
      <c r="A21" s="14" t="inlineStr">
        <is>
          <t>healthcareCoverage</t>
        </is>
      </c>
      <c r="B21" s="14" t="n">
        <v>3</v>
      </c>
      <c r="C21" s="14" t="inlineStr">
        <is>
          <t>ESIC</t>
        </is>
      </c>
      <c r="D21" s="14" t="inlineStr">
        <is>
          <t>Used as dropdown values.</t>
        </is>
      </c>
    </row>
    <row r="22">
      <c r="A22" s="14" t="inlineStr">
        <is>
          <t>healthcareCoverage</t>
        </is>
      </c>
      <c r="B22" s="14" t="n">
        <v>4</v>
      </c>
      <c r="C22" s="14" t="inlineStr">
        <is>
          <t>State Scheme (Rajya Bima / Aarogyasri)</t>
        </is>
      </c>
      <c r="D22" s="14" t="inlineStr">
        <is>
          <t>Used as dropdown values.</t>
        </is>
      </c>
    </row>
    <row r="23">
      <c r="A23" s="14" t="inlineStr">
        <is>
          <t>healthcareCoverage</t>
        </is>
      </c>
      <c r="B23" s="14" t="n">
        <v>5</v>
      </c>
      <c r="C23" s="14" t="inlineStr">
        <is>
          <t>Private Insurance</t>
        </is>
      </c>
      <c r="D23" s="14" t="inlineStr">
        <is>
          <t>Used as dropdown values.</t>
        </is>
      </c>
    </row>
    <row r="24">
      <c r="A24" s="14" t="inlineStr">
        <is>
          <t>healthcareCoverage</t>
        </is>
      </c>
      <c r="B24" s="14" t="n">
        <v>6</v>
      </c>
      <c r="C24" s="14" t="inlineStr">
        <is>
          <t>Self-pay</t>
        </is>
      </c>
      <c r="D24" s="14" t="inlineStr">
        <is>
          <t>Used as dropdown values.</t>
        </is>
      </c>
    </row>
    <row r="25">
      <c r="A25" s="14" t="inlineStr">
        <is>
          <t>referringHospitalCentre</t>
        </is>
      </c>
      <c r="B25" s="14" t="n">
        <v>1</v>
      </c>
      <c r="C25" s="14" t="inlineStr">
        <is>
          <t>AIIMS New Delhi</t>
        </is>
      </c>
      <c r="D25" s="14" t="inlineStr">
        <is>
          <t>Used as dropdown values.</t>
        </is>
      </c>
    </row>
    <row r="26">
      <c r="A26" s="14" t="inlineStr">
        <is>
          <t>referringHospitalCentre</t>
        </is>
      </c>
      <c r="B26" s="14" t="n">
        <v>2</v>
      </c>
      <c r="C26" s="14" t="inlineStr">
        <is>
          <t>Tata Memorial Centre, Mumbai</t>
        </is>
      </c>
      <c r="D26" s="14" t="inlineStr">
        <is>
          <t>Used as dropdown values.</t>
        </is>
      </c>
    </row>
    <row r="27">
      <c r="A27" s="14" t="inlineStr">
        <is>
          <t>referringHospitalCentre</t>
        </is>
      </c>
      <c r="B27" s="14" t="n">
        <v>3</v>
      </c>
      <c r="C27" s="14" t="inlineStr">
        <is>
          <t>CMC Vellore</t>
        </is>
      </c>
      <c r="D27" s="14" t="inlineStr">
        <is>
          <t>Used as dropdown values.</t>
        </is>
      </c>
    </row>
    <row r="28">
      <c r="A28" s="14" t="inlineStr">
        <is>
          <t>referringHospitalCentre</t>
        </is>
      </c>
      <c r="B28" s="14" t="n">
        <v>4</v>
      </c>
      <c r="C28" s="14" t="inlineStr">
        <is>
          <t>PGIMER Chandigarh</t>
        </is>
      </c>
      <c r="D28" s="14" t="inlineStr">
        <is>
          <t>Used as dropdown values.</t>
        </is>
      </c>
    </row>
    <row r="29">
      <c r="A29" s="14" t="inlineStr">
        <is>
          <t>referringHospitalCentre</t>
        </is>
      </c>
      <c r="B29" s="14" t="n">
        <v>5</v>
      </c>
      <c r="C29" s="14" t="inlineStr">
        <is>
          <t>RGCI Delhi</t>
        </is>
      </c>
      <c r="D29" s="14" t="inlineStr">
        <is>
          <t>Used as dropdown values.</t>
        </is>
      </c>
    </row>
    <row r="30">
      <c r="A30" s="14" t="inlineStr">
        <is>
          <t>referringHospitalCentre</t>
        </is>
      </c>
      <c r="B30" s="14" t="n">
        <v>6</v>
      </c>
      <c r="C30" s="14" t="inlineStr">
        <is>
          <t>SGPGI Lucknow</t>
        </is>
      </c>
      <c r="D30" s="14" t="inlineStr">
        <is>
          <t>Used as dropdown values.</t>
        </is>
      </c>
    </row>
    <row r="31">
      <c r="A31" s="14" t="inlineStr">
        <is>
          <t>referringHospitalCentre</t>
        </is>
      </c>
      <c r="B31" s="14" t="n">
        <v>7</v>
      </c>
      <c r="C31" s="14" t="inlineStr">
        <is>
          <t>Government General Hospital</t>
        </is>
      </c>
      <c r="D31" s="14" t="inlineStr">
        <is>
          <t>Used as dropdown values.</t>
        </is>
      </c>
    </row>
    <row r="32">
      <c r="A32" s="14" t="inlineStr">
        <is>
          <t>referringHospitalCentre</t>
        </is>
      </c>
      <c r="B32" s="14" t="n">
        <v>8</v>
      </c>
      <c r="C32" s="14" t="inlineStr">
        <is>
          <t>Private Urologist / Clinic</t>
        </is>
      </c>
      <c r="D32" s="14" t="inlineStr">
        <is>
          <t>Used as dropdown values.</t>
        </is>
      </c>
    </row>
    <row r="33">
      <c r="A33" s="14" t="inlineStr">
        <is>
          <t>referralSource</t>
        </is>
      </c>
      <c r="B33" s="14" t="n">
        <v>1</v>
      </c>
      <c r="C33" s="14" t="inlineStr">
        <is>
          <t>Government Hospital / OPD</t>
        </is>
      </c>
      <c r="D33" s="14" t="inlineStr">
        <is>
          <t>Used as dropdown values.</t>
        </is>
      </c>
    </row>
    <row r="34">
      <c r="A34" s="14" t="inlineStr">
        <is>
          <t>referralSource</t>
        </is>
      </c>
      <c r="B34" s="14" t="n">
        <v>2</v>
      </c>
      <c r="C34" s="14" t="inlineStr">
        <is>
          <t>Private Urologist</t>
        </is>
      </c>
      <c r="D34" s="14" t="inlineStr">
        <is>
          <t>Used as dropdown values.</t>
        </is>
      </c>
    </row>
    <row r="35">
      <c r="A35" s="14" t="inlineStr">
        <is>
          <t>referralSource</t>
        </is>
      </c>
      <c r="B35" s="14" t="n">
        <v>3</v>
      </c>
      <c r="C35" s="14" t="inlineStr">
        <is>
          <t>CGHS Panel Hospital</t>
        </is>
      </c>
      <c r="D35" s="14" t="inlineStr">
        <is>
          <t>Used as dropdown values.</t>
        </is>
      </c>
    </row>
    <row r="36">
      <c r="A36" s="14" t="inlineStr">
        <is>
          <t>referralSource</t>
        </is>
      </c>
      <c r="B36" s="14" t="n">
        <v>4</v>
      </c>
      <c r="C36" s="14" t="inlineStr">
        <is>
          <t>District Cancer Centre</t>
        </is>
      </c>
      <c r="D36" s="14" t="inlineStr">
        <is>
          <t>Used as dropdown values.</t>
        </is>
      </c>
    </row>
    <row r="37">
      <c r="A37" s="14" t="inlineStr">
        <is>
          <t>referralSource</t>
        </is>
      </c>
      <c r="B37" s="14" t="n">
        <v>5</v>
      </c>
      <c r="C37" s="14" t="inlineStr">
        <is>
          <t>Self-referral</t>
        </is>
      </c>
      <c r="D37" s="14" t="inlineStr">
        <is>
          <t>Used as dropdown values.</t>
        </is>
      </c>
    </row>
    <row r="38">
      <c r="A38" s="14" t="inlineStr">
        <is>
          <t>referralSource</t>
        </is>
      </c>
      <c r="B38" s="14" t="n">
        <v>6</v>
      </c>
      <c r="C38" s="14" t="inlineStr">
        <is>
          <t>Other</t>
        </is>
      </c>
      <c r="D38" s="14" t="inlineStr">
        <is>
          <t>Used as dropdown values.</t>
        </is>
      </c>
    </row>
    <row r="39">
      <c r="A39" s="14" t="inlineStr">
        <is>
          <t>state</t>
        </is>
      </c>
      <c r="B39" s="14" t="n">
        <v>1</v>
      </c>
      <c r="C39" s="14" t="inlineStr">
        <is>
          <t>Delhi</t>
        </is>
      </c>
      <c r="D39" s="14" t="inlineStr">
        <is>
          <t>Used as dropdown values.</t>
        </is>
      </c>
    </row>
    <row r="40">
      <c r="A40" s="14" t="inlineStr">
        <is>
          <t>state</t>
        </is>
      </c>
      <c r="B40" s="14" t="n">
        <v>2</v>
      </c>
      <c r="C40" s="14" t="inlineStr">
        <is>
          <t>Maharashtra</t>
        </is>
      </c>
      <c r="D40" s="14" t="inlineStr">
        <is>
          <t>Used as dropdown values.</t>
        </is>
      </c>
    </row>
    <row r="41">
      <c r="A41" s="14" t="inlineStr">
        <is>
          <t>state</t>
        </is>
      </c>
      <c r="B41" s="14" t="n">
        <v>3</v>
      </c>
      <c r="C41" s="14" t="inlineStr">
        <is>
          <t>Tamil Nadu</t>
        </is>
      </c>
      <c r="D41" s="14" t="inlineStr">
        <is>
          <t>Used as dropdown values.</t>
        </is>
      </c>
    </row>
    <row r="42">
      <c r="A42" s="14" t="inlineStr">
        <is>
          <t>state</t>
        </is>
      </c>
      <c r="B42" s="14" t="n">
        <v>4</v>
      </c>
      <c r="C42" s="14" t="inlineStr">
        <is>
          <t>Uttar Pradesh</t>
        </is>
      </c>
      <c r="D42" s="14" t="inlineStr">
        <is>
          <t>Used as dropdown values.</t>
        </is>
      </c>
    </row>
    <row r="43">
      <c r="A43" s="14" t="inlineStr">
        <is>
          <t>state</t>
        </is>
      </c>
      <c r="B43" s="14" t="n">
        <v>5</v>
      </c>
      <c r="C43" s="14" t="inlineStr">
        <is>
          <t>Karnataka</t>
        </is>
      </c>
      <c r="D43" s="14" t="inlineStr">
        <is>
          <t>Used as dropdown values.</t>
        </is>
      </c>
    </row>
    <row r="44">
      <c r="A44" s="14" t="inlineStr">
        <is>
          <t>state</t>
        </is>
      </c>
      <c r="B44" s="14" t="n">
        <v>6</v>
      </c>
      <c r="C44" s="14" t="inlineStr">
        <is>
          <t>West Bengal</t>
        </is>
      </c>
      <c r="D44" s="14" t="inlineStr">
        <is>
          <t>Used as dropdown values.</t>
        </is>
      </c>
    </row>
    <row r="45">
      <c r="A45" s="14" t="inlineStr">
        <is>
          <t>state</t>
        </is>
      </c>
      <c r="B45" s="14" t="n">
        <v>7</v>
      </c>
      <c r="C45" s="14" t="inlineStr">
        <is>
          <t>Rajasthan</t>
        </is>
      </c>
      <c r="D45" s="14" t="inlineStr">
        <is>
          <t>Used as dropdown values.</t>
        </is>
      </c>
    </row>
    <row r="46">
      <c r="A46" s="14" t="inlineStr">
        <is>
          <t>state</t>
        </is>
      </c>
      <c r="B46" s="14" t="n">
        <v>8</v>
      </c>
      <c r="C46" s="14" t="inlineStr">
        <is>
          <t>Punjab</t>
        </is>
      </c>
      <c r="D46" s="14" t="inlineStr">
        <is>
          <t>Used as dropdown values.</t>
        </is>
      </c>
    </row>
    <row r="47">
      <c r="A47" s="14" t="inlineStr">
        <is>
          <t>state</t>
        </is>
      </c>
      <c r="B47" s="14" t="n">
        <v>9</v>
      </c>
      <c r="C47" s="14" t="inlineStr">
        <is>
          <t>Gujarat</t>
        </is>
      </c>
      <c r="D47" s="14" t="inlineStr">
        <is>
          <t>Used as dropdown values.</t>
        </is>
      </c>
    </row>
    <row r="48">
      <c r="A48" s="14" t="inlineStr">
        <is>
          <t>state</t>
        </is>
      </c>
      <c r="B48" s="14" t="n">
        <v>10</v>
      </c>
      <c r="C48" s="14" t="inlineStr">
        <is>
          <t>Telangana</t>
        </is>
      </c>
      <c r="D48" s="14" t="inlineStr">
        <is>
          <t>Used as dropdown values.</t>
        </is>
      </c>
    </row>
    <row r="49">
      <c r="A49" s="14" t="inlineStr">
        <is>
          <t>state</t>
        </is>
      </c>
      <c r="B49" s="14" t="n">
        <v>11</v>
      </c>
      <c r="C49" s="14" t="inlineStr">
        <is>
          <t>Andhra Pradesh</t>
        </is>
      </c>
      <c r="D49" s="14" t="inlineStr">
        <is>
          <t>Used as dropdown values.</t>
        </is>
      </c>
    </row>
    <row r="50">
      <c r="A50" s="14" t="inlineStr">
        <is>
          <t>state</t>
        </is>
      </c>
      <c r="B50" s="14" t="n">
        <v>12</v>
      </c>
      <c r="C50" s="14" t="inlineStr">
        <is>
          <t>Madhya Pradesh</t>
        </is>
      </c>
      <c r="D50" s="14" t="inlineStr">
        <is>
          <t>Used as dropdown values.</t>
        </is>
      </c>
    </row>
    <row r="51">
      <c r="A51" s="14" t="inlineStr">
        <is>
          <t>state</t>
        </is>
      </c>
      <c r="B51" s="14" t="n">
        <v>13</v>
      </c>
      <c r="C51" s="14" t="inlineStr">
        <is>
          <t>Bihar</t>
        </is>
      </c>
      <c r="D51" s="14" t="inlineStr">
        <is>
          <t>Used as dropdown values.</t>
        </is>
      </c>
    </row>
    <row r="52">
      <c r="A52" s="14" t="inlineStr">
        <is>
          <t>state</t>
        </is>
      </c>
      <c r="B52" s="14" t="n">
        <v>14</v>
      </c>
      <c r="C52" s="14" t="inlineStr">
        <is>
          <t>Other</t>
        </is>
      </c>
      <c r="D52" s="14" t="inlineStr">
        <is>
          <t>Used as dropdown values.</t>
        </is>
      </c>
    </row>
    <row r="53">
      <c r="A53" s="14" t="inlineStr">
        <is>
          <t>primaryComplaint</t>
        </is>
      </c>
      <c r="B53" s="14" t="n">
        <v>1</v>
      </c>
      <c r="C53" s="14" t="inlineStr">
        <is>
          <t>LUTS (Lower urinary tract symptoms)</t>
        </is>
      </c>
      <c r="D53" s="14" t="inlineStr">
        <is>
          <t>Used as dropdown values.</t>
        </is>
      </c>
    </row>
    <row r="54">
      <c r="A54" s="14" t="inlineStr">
        <is>
          <t>primaryComplaint</t>
        </is>
      </c>
      <c r="B54" s="14" t="n">
        <v>2</v>
      </c>
      <c r="C54" s="14" t="inlineStr">
        <is>
          <t>Haematuria</t>
        </is>
      </c>
      <c r="D54" s="14" t="inlineStr">
        <is>
          <t>Used as dropdown values.</t>
        </is>
      </c>
    </row>
    <row r="55">
      <c r="A55" s="14" t="inlineStr">
        <is>
          <t>primaryComplaint</t>
        </is>
      </c>
      <c r="B55" s="14" t="n">
        <v>3</v>
      </c>
      <c r="C55" s="14" t="inlineStr">
        <is>
          <t>Bone pain / backache</t>
        </is>
      </c>
      <c r="D55" s="14" t="inlineStr">
        <is>
          <t>Used as dropdown values.</t>
        </is>
      </c>
    </row>
    <row r="56">
      <c r="A56" s="14" t="inlineStr">
        <is>
          <t>primaryComplaint</t>
        </is>
      </c>
      <c r="B56" s="14" t="n">
        <v>4</v>
      </c>
      <c r="C56" s="14" t="inlineStr">
        <is>
          <t>Incidental PSA elevation</t>
        </is>
      </c>
      <c r="D56" s="14" t="inlineStr">
        <is>
          <t>Used as dropdown values.</t>
        </is>
      </c>
    </row>
    <row r="57">
      <c r="A57" s="14" t="inlineStr">
        <is>
          <t>primaryComplaint</t>
        </is>
      </c>
      <c r="B57" s="14" t="n">
        <v>5</v>
      </c>
      <c r="C57" s="14" t="inlineStr">
        <is>
          <t>Asymptomatic screening</t>
        </is>
      </c>
      <c r="D57" s="14" t="inlineStr">
        <is>
          <t>Used as dropdown values.</t>
        </is>
      </c>
    </row>
    <row r="58">
      <c r="A58" s="14" t="inlineStr">
        <is>
          <t>primaryComplaint</t>
        </is>
      </c>
      <c r="B58" s="14" t="n">
        <v>6</v>
      </c>
      <c r="C58" s="14" t="inlineStr">
        <is>
          <t>Urinary retention</t>
        </is>
      </c>
      <c r="D58" s="14" t="inlineStr">
        <is>
          <t>Used as dropdown values.</t>
        </is>
      </c>
    </row>
    <row r="59">
      <c r="A59" s="14" t="inlineStr">
        <is>
          <t>ipssScore</t>
        </is>
      </c>
      <c r="B59" s="14" t="n">
        <v>1</v>
      </c>
      <c r="C59" s="14" t="inlineStr">
        <is>
          <t>0–7 (Mild)</t>
        </is>
      </c>
      <c r="D59" s="14" t="inlineStr">
        <is>
          <t>Used as dropdown values.</t>
        </is>
      </c>
    </row>
    <row r="60">
      <c r="A60" s="14" t="inlineStr">
        <is>
          <t>ipssScore</t>
        </is>
      </c>
      <c r="B60" s="14" t="n">
        <v>2</v>
      </c>
      <c r="C60" s="14" t="inlineStr">
        <is>
          <t>8–19 (Moderate)</t>
        </is>
      </c>
      <c r="D60" s="14" t="inlineStr">
        <is>
          <t>Used as dropdown values.</t>
        </is>
      </c>
    </row>
    <row r="61">
      <c r="A61" s="14" t="inlineStr">
        <is>
          <t>ipssScore</t>
        </is>
      </c>
      <c r="B61" s="14" t="n">
        <v>3</v>
      </c>
      <c r="C61" s="14" t="inlineStr">
        <is>
          <t>20–35 (Severe)</t>
        </is>
      </c>
      <c r="D61" s="14" t="inlineStr">
        <is>
          <t>Used as dropdown values.</t>
        </is>
      </c>
    </row>
    <row r="62">
      <c r="A62" s="14" t="inlineStr">
        <is>
          <t>bowelRectalSymptoms</t>
        </is>
      </c>
      <c r="B62" s="14" t="n">
        <v>1</v>
      </c>
      <c r="C62" s="14" t="inlineStr">
        <is>
          <t>None</t>
        </is>
      </c>
      <c r="D62" s="14" t="inlineStr">
        <is>
          <t>Used as dropdown values.</t>
        </is>
      </c>
    </row>
    <row r="63">
      <c r="A63" s="14" t="inlineStr">
        <is>
          <t>bowelRectalSymptoms</t>
        </is>
      </c>
      <c r="B63" s="14" t="n">
        <v>2</v>
      </c>
      <c r="C63" s="14" t="inlineStr">
        <is>
          <t>Constipation</t>
        </is>
      </c>
      <c r="D63" s="14" t="inlineStr">
        <is>
          <t>Used as dropdown values.</t>
        </is>
      </c>
    </row>
    <row r="64">
      <c r="A64" s="14" t="inlineStr">
        <is>
          <t>bowelRectalSymptoms</t>
        </is>
      </c>
      <c r="B64" s="14" t="n">
        <v>3</v>
      </c>
      <c r="C64" s="14" t="inlineStr">
        <is>
          <t>Blood in stool</t>
        </is>
      </c>
      <c r="D64" s="14" t="inlineStr">
        <is>
          <t>Used as dropdown values.</t>
        </is>
      </c>
    </row>
    <row r="65">
      <c r="A65" s="14" t="inlineStr">
        <is>
          <t>bowelRectalSymptoms</t>
        </is>
      </c>
      <c r="B65" s="14" t="n">
        <v>4</v>
      </c>
      <c r="C65" s="14" t="inlineStr">
        <is>
          <t>Tenesmus</t>
        </is>
      </c>
      <c r="D65" s="14" t="inlineStr">
        <is>
          <t>Used as dropdown values.</t>
        </is>
      </c>
    </row>
    <row r="66">
      <c r="A66" s="14" t="inlineStr">
        <is>
          <t>dreFindings</t>
        </is>
      </c>
      <c r="B66" s="14" t="n">
        <v>1</v>
      </c>
      <c r="C66" s="14" t="inlineStr">
        <is>
          <t>Normal</t>
        </is>
      </c>
      <c r="D66" s="14" t="inlineStr">
        <is>
          <t>Used as dropdown values.</t>
        </is>
      </c>
    </row>
    <row r="67">
      <c r="A67" s="14" t="inlineStr">
        <is>
          <t>dreFindings</t>
        </is>
      </c>
      <c r="B67" s="14" t="n">
        <v>2</v>
      </c>
      <c r="C67" s="14" t="inlineStr">
        <is>
          <t>Enlarged (BPH)</t>
        </is>
      </c>
      <c r="D67" s="14" t="inlineStr">
        <is>
          <t>Used as dropdown values.</t>
        </is>
      </c>
    </row>
    <row r="68">
      <c r="A68" s="14" t="inlineStr">
        <is>
          <t>dreFindings</t>
        </is>
      </c>
      <c r="B68" s="14" t="n">
        <v>3</v>
      </c>
      <c r="C68" s="14" t="inlineStr">
        <is>
          <t>Nodule – unilateral</t>
        </is>
      </c>
      <c r="D68" s="14" t="inlineStr">
        <is>
          <t>Used as dropdown values.</t>
        </is>
      </c>
    </row>
    <row r="69">
      <c r="A69" s="14" t="inlineStr">
        <is>
          <t>dreFindings</t>
        </is>
      </c>
      <c r="B69" s="14" t="n">
        <v>4</v>
      </c>
      <c r="C69" s="14" t="inlineStr">
        <is>
          <t>Nodule – bilateral</t>
        </is>
      </c>
      <c r="D69" s="14" t="inlineStr">
        <is>
          <t>Used as dropdown values.</t>
        </is>
      </c>
    </row>
    <row r="70">
      <c r="A70" s="14" t="inlineStr">
        <is>
          <t>dreFindings</t>
        </is>
      </c>
      <c r="B70" s="14" t="n">
        <v>5</v>
      </c>
      <c r="C70" s="14" t="inlineStr">
        <is>
          <t>Induration / fixity</t>
        </is>
      </c>
      <c r="D70" s="14" t="inlineStr">
        <is>
          <t>Used as dropdown values.</t>
        </is>
      </c>
    </row>
    <row r="71">
      <c r="A71" s="14" t="inlineStr">
        <is>
          <t>dreFindings</t>
        </is>
      </c>
      <c r="B71" s="14" t="n">
        <v>6</v>
      </c>
      <c r="C71" s="14" t="inlineStr">
        <is>
          <t>Seminal vesicle ext.</t>
        </is>
      </c>
      <c r="D71" s="14" t="inlineStr">
        <is>
          <t>Used as dropdown values.</t>
        </is>
      </c>
    </row>
    <row r="72">
      <c r="A72" s="14" t="inlineStr">
        <is>
          <t>biopsyType</t>
        </is>
      </c>
      <c r="B72" s="14" t="n">
        <v>1</v>
      </c>
      <c r="C72" s="14" t="inlineStr">
        <is>
          <t>12-core TRUS biopsy</t>
        </is>
      </c>
      <c r="D72" s="14" t="inlineStr">
        <is>
          <t>Used as dropdown values.</t>
        </is>
      </c>
    </row>
    <row r="73">
      <c r="A73" s="14" t="inlineStr">
        <is>
          <t>biopsyType</t>
        </is>
      </c>
      <c r="B73" s="14" t="n">
        <v>2</v>
      </c>
      <c r="C73" s="14" t="inlineStr">
        <is>
          <t>MRI-targeted / Fusion biopsy</t>
        </is>
      </c>
      <c r="D73" s="14" t="inlineStr">
        <is>
          <t>Used as dropdown values.</t>
        </is>
      </c>
    </row>
    <row r="74">
      <c r="A74" s="14" t="inlineStr">
        <is>
          <t>biopsyType</t>
        </is>
      </c>
      <c r="B74" s="14" t="n">
        <v>3</v>
      </c>
      <c r="C74" s="14" t="inlineStr">
        <is>
          <t>Cognitive targeted</t>
        </is>
      </c>
      <c r="D74" s="14" t="inlineStr">
        <is>
          <t>Used as dropdown values.</t>
        </is>
      </c>
    </row>
    <row r="75">
      <c r="A75" s="14" t="inlineStr">
        <is>
          <t>biopsyType</t>
        </is>
      </c>
      <c r="B75" s="14" t="n">
        <v>4</v>
      </c>
      <c r="C75" s="14" t="inlineStr">
        <is>
          <t>Transperineal biopsy</t>
        </is>
      </c>
      <c r="D75" s="14" t="inlineStr">
        <is>
          <t>Used as dropdown values.</t>
        </is>
      </c>
    </row>
    <row r="76">
      <c r="A76" s="14" t="inlineStr">
        <is>
          <t>biopsyType</t>
        </is>
      </c>
      <c r="B76" s="14" t="n">
        <v>5</v>
      </c>
      <c r="C76" s="14" t="inlineStr">
        <is>
          <t>TURP chips</t>
        </is>
      </c>
      <c r="D76" s="14" t="inlineStr">
        <is>
          <t>Used as dropdown values.</t>
        </is>
      </c>
    </row>
    <row r="77">
      <c r="A77" s="14" t="inlineStr">
        <is>
          <t>piRadsScore</t>
        </is>
      </c>
      <c r="B77" s="14" t="n">
        <v>1</v>
      </c>
      <c r="C77" s="14" t="inlineStr">
        <is>
          <t>PI-RADS 1</t>
        </is>
      </c>
      <c r="D77" s="14" t="inlineStr">
        <is>
          <t>Used as dropdown values.</t>
        </is>
      </c>
    </row>
    <row r="78">
      <c r="A78" s="14" t="inlineStr">
        <is>
          <t>piRadsScore</t>
        </is>
      </c>
      <c r="B78" s="14" t="n">
        <v>2</v>
      </c>
      <c r="C78" s="14" t="inlineStr">
        <is>
          <t>PI-RADS 2</t>
        </is>
      </c>
      <c r="D78" s="14" t="inlineStr">
        <is>
          <t>Used as dropdown values.</t>
        </is>
      </c>
    </row>
    <row r="79">
      <c r="A79" s="14" t="inlineStr">
        <is>
          <t>piRadsScore</t>
        </is>
      </c>
      <c r="B79" s="14" t="n">
        <v>3</v>
      </c>
      <c r="C79" s="14" t="inlineStr">
        <is>
          <t>PI-RADS 3</t>
        </is>
      </c>
      <c r="D79" s="14" t="inlineStr">
        <is>
          <t>Used as dropdown values.</t>
        </is>
      </c>
    </row>
    <row r="80">
      <c r="A80" s="14" t="inlineStr">
        <is>
          <t>piRadsScore</t>
        </is>
      </c>
      <c r="B80" s="14" t="n">
        <v>4</v>
      </c>
      <c r="C80" s="14" t="inlineStr">
        <is>
          <t>PI-RADS 4</t>
        </is>
      </c>
      <c r="D80" s="14" t="inlineStr">
        <is>
          <t>Used as dropdown values.</t>
        </is>
      </c>
    </row>
    <row r="81">
      <c r="A81" s="14" t="inlineStr">
        <is>
          <t>piRadsScore</t>
        </is>
      </c>
      <c r="B81" s="14" t="n">
        <v>5</v>
      </c>
      <c r="C81" s="14" t="inlineStr">
        <is>
          <t>PI-RADS 5</t>
        </is>
      </c>
      <c r="D81" s="14" t="inlineStr">
        <is>
          <t>Used as dropdown values.</t>
        </is>
      </c>
    </row>
    <row r="82">
      <c r="A82" s="14" t="inlineStr">
        <is>
          <t>piRadsScore</t>
        </is>
      </c>
      <c r="B82" s="14" t="n">
        <v>6</v>
      </c>
      <c r="C82" s="14" t="inlineStr">
        <is>
          <t>Not done</t>
        </is>
      </c>
      <c r="D82" s="14" t="inlineStr">
        <is>
          <t>Used as dropdown values.</t>
        </is>
      </c>
    </row>
    <row r="83">
      <c r="A83" s="14" t="inlineStr">
        <is>
          <t>gleasonScore</t>
        </is>
      </c>
      <c r="B83" s="14" t="n">
        <v>1</v>
      </c>
      <c r="C83" s="14" t="inlineStr">
        <is>
          <t>3+3=6</t>
        </is>
      </c>
      <c r="D83" s="14" t="inlineStr">
        <is>
          <t>Used as dropdown values.</t>
        </is>
      </c>
    </row>
    <row r="84">
      <c r="A84" s="14" t="inlineStr">
        <is>
          <t>gleasonScore</t>
        </is>
      </c>
      <c r="B84" s="14" t="n">
        <v>2</v>
      </c>
      <c r="C84" s="14" t="inlineStr">
        <is>
          <t>3+4=7</t>
        </is>
      </c>
      <c r="D84" s="14" t="inlineStr">
        <is>
          <t>Used as dropdown values.</t>
        </is>
      </c>
    </row>
    <row r="85">
      <c r="A85" s="14" t="inlineStr">
        <is>
          <t>gleasonScore</t>
        </is>
      </c>
      <c r="B85" s="14" t="n">
        <v>3</v>
      </c>
      <c r="C85" s="14" t="inlineStr">
        <is>
          <t>4+3=7</t>
        </is>
      </c>
      <c r="D85" s="14" t="inlineStr">
        <is>
          <t>Used as dropdown values.</t>
        </is>
      </c>
    </row>
    <row r="86">
      <c r="A86" s="14" t="inlineStr">
        <is>
          <t>gleasonScore</t>
        </is>
      </c>
      <c r="B86" s="14" t="n">
        <v>4</v>
      </c>
      <c r="C86" s="14" t="inlineStr">
        <is>
          <t>4+4=8</t>
        </is>
      </c>
      <c r="D86" s="14" t="inlineStr">
        <is>
          <t>Used as dropdown values.</t>
        </is>
      </c>
    </row>
    <row r="87">
      <c r="A87" s="14" t="inlineStr">
        <is>
          <t>gleasonScore</t>
        </is>
      </c>
      <c r="B87" s="14" t="n">
        <v>5</v>
      </c>
      <c r="C87" s="14" t="inlineStr">
        <is>
          <t>4+5=9</t>
        </is>
      </c>
      <c r="D87" s="14" t="inlineStr">
        <is>
          <t>Used as dropdown values.</t>
        </is>
      </c>
    </row>
    <row r="88">
      <c r="A88" s="14" t="inlineStr">
        <is>
          <t>gleasonScore</t>
        </is>
      </c>
      <c r="B88" s="14" t="n">
        <v>6</v>
      </c>
      <c r="C88" s="14" t="inlineStr">
        <is>
          <t>5+4=9</t>
        </is>
      </c>
      <c r="D88" s="14" t="inlineStr">
        <is>
          <t>Used as dropdown values.</t>
        </is>
      </c>
    </row>
    <row r="89">
      <c r="A89" s="14" t="inlineStr">
        <is>
          <t>gleasonScore</t>
        </is>
      </c>
      <c r="B89" s="14" t="n">
        <v>7</v>
      </c>
      <c r="C89" s="14" t="inlineStr">
        <is>
          <t>5+5=10</t>
        </is>
      </c>
      <c r="D89" s="14" t="inlineStr">
        <is>
          <t>Used as dropdown values.</t>
        </is>
      </c>
    </row>
    <row r="90">
      <c r="A90" s="14" t="inlineStr">
        <is>
          <t>isupGradeGroup</t>
        </is>
      </c>
      <c r="B90" s="14" t="n">
        <v>1</v>
      </c>
      <c r="C90" s="14" t="inlineStr">
        <is>
          <t>Grade 1 (3+3)</t>
        </is>
      </c>
      <c r="D90" s="14" t="inlineStr">
        <is>
          <t>Used as dropdown values.</t>
        </is>
      </c>
    </row>
    <row r="91">
      <c r="A91" s="14" t="inlineStr">
        <is>
          <t>isupGradeGroup</t>
        </is>
      </c>
      <c r="B91" s="14" t="n">
        <v>2</v>
      </c>
      <c r="C91" s="14" t="inlineStr">
        <is>
          <t>Grade 2 (3+4)</t>
        </is>
      </c>
      <c r="D91" s="14" t="inlineStr">
        <is>
          <t>Used as dropdown values.</t>
        </is>
      </c>
    </row>
    <row r="92">
      <c r="A92" s="14" t="inlineStr">
        <is>
          <t>isupGradeGroup</t>
        </is>
      </c>
      <c r="B92" s="14" t="n">
        <v>3</v>
      </c>
      <c r="C92" s="14" t="inlineStr">
        <is>
          <t>Grade 3 (4+3)</t>
        </is>
      </c>
      <c r="D92" s="14" t="inlineStr">
        <is>
          <t>Used as dropdown values.</t>
        </is>
      </c>
    </row>
    <row r="93">
      <c r="A93" s="14" t="inlineStr">
        <is>
          <t>isupGradeGroup</t>
        </is>
      </c>
      <c r="B93" s="14" t="n">
        <v>4</v>
      </c>
      <c r="C93" s="14" t="inlineStr">
        <is>
          <t>Grade 4 (4+4)</t>
        </is>
      </c>
      <c r="D93" s="14" t="inlineStr">
        <is>
          <t>Used as dropdown values.</t>
        </is>
      </c>
    </row>
    <row r="94">
      <c r="A94" s="14" t="inlineStr">
        <is>
          <t>isupGradeGroup</t>
        </is>
      </c>
      <c r="B94" s="14" t="n">
        <v>5</v>
      </c>
      <c r="C94" s="14" t="inlineStr">
        <is>
          <t>Grade 5 (≥4+5)</t>
        </is>
      </c>
      <c r="D94" s="14" t="inlineStr">
        <is>
          <t>Used as dropdown values.</t>
        </is>
      </c>
    </row>
    <row r="95">
      <c r="A95" s="14" t="inlineStr">
        <is>
          <t>perineuralInvasion</t>
        </is>
      </c>
      <c r="B95" s="14" t="n">
        <v>1</v>
      </c>
      <c r="C95" s="14" t="inlineStr">
        <is>
          <t>Not assessed</t>
        </is>
      </c>
      <c r="D95" s="14" t="inlineStr">
        <is>
          <t>Used as dropdown values.</t>
        </is>
      </c>
    </row>
    <row r="96">
      <c r="A96" s="14" t="inlineStr">
        <is>
          <t>perineuralInvasion</t>
        </is>
      </c>
      <c r="B96" s="14" t="n">
        <v>2</v>
      </c>
      <c r="C96" s="14" t="inlineStr">
        <is>
          <t>Absent</t>
        </is>
      </c>
      <c r="D96" s="14" t="inlineStr">
        <is>
          <t>Used as dropdown values.</t>
        </is>
      </c>
    </row>
    <row r="97">
      <c r="A97" s="14" t="inlineStr">
        <is>
          <t>perineuralInvasion</t>
        </is>
      </c>
      <c r="B97" s="14" t="n">
        <v>3</v>
      </c>
      <c r="C97" s="14" t="inlineStr">
        <is>
          <t>Present</t>
        </is>
      </c>
      <c r="D97" s="14" t="inlineStr">
        <is>
          <t>Used as dropdown values.</t>
        </is>
      </c>
    </row>
    <row r="98">
      <c r="A98" s="14" t="inlineStr">
        <is>
          <t>ece</t>
        </is>
      </c>
      <c r="B98" s="14" t="n">
        <v>1</v>
      </c>
      <c r="C98" s="14" t="inlineStr">
        <is>
          <t>Not assessed</t>
        </is>
      </c>
      <c r="D98" s="14" t="inlineStr">
        <is>
          <t>Used as dropdown values.</t>
        </is>
      </c>
    </row>
    <row r="99">
      <c r="A99" s="14" t="inlineStr">
        <is>
          <t>ece</t>
        </is>
      </c>
      <c r="B99" s="14" t="n">
        <v>2</v>
      </c>
      <c r="C99" s="14" t="inlineStr">
        <is>
          <t>Absent</t>
        </is>
      </c>
      <c r="D99" s="14" t="inlineStr">
        <is>
          <t>Used as dropdown values.</t>
        </is>
      </c>
    </row>
    <row r="100">
      <c r="A100" s="14" t="inlineStr">
        <is>
          <t>ece</t>
        </is>
      </c>
      <c r="B100" s="14" t="n">
        <v>3</v>
      </c>
      <c r="C100" s="14" t="inlineStr">
        <is>
          <t>Present (radiological)</t>
        </is>
      </c>
      <c r="D100" s="14" t="inlineStr">
        <is>
          <t>Used as dropdown values.</t>
        </is>
      </c>
    </row>
    <row r="101">
      <c r="A101" s="14" t="inlineStr">
        <is>
          <t>clinicalTStage</t>
        </is>
      </c>
      <c r="B101" s="14" t="n">
        <v>1</v>
      </c>
      <c r="C101" s="14" t="inlineStr">
        <is>
          <t>cT1a</t>
        </is>
      </c>
      <c r="D101" s="14" t="inlineStr">
        <is>
          <t>Used as dropdown values.</t>
        </is>
      </c>
    </row>
    <row r="102">
      <c r="A102" s="14" t="inlineStr">
        <is>
          <t>clinicalTStage</t>
        </is>
      </c>
      <c r="B102" s="14" t="n">
        <v>2</v>
      </c>
      <c r="C102" s="14" t="inlineStr">
        <is>
          <t>cT1b</t>
        </is>
      </c>
      <c r="D102" s="14" t="inlineStr">
        <is>
          <t>Used as dropdown values.</t>
        </is>
      </c>
    </row>
    <row r="103">
      <c r="A103" s="14" t="inlineStr">
        <is>
          <t>clinicalTStage</t>
        </is>
      </c>
      <c r="B103" s="14" t="n">
        <v>3</v>
      </c>
      <c r="C103" s="14" t="inlineStr">
        <is>
          <t>cT1c</t>
        </is>
      </c>
      <c r="D103" s="14" t="inlineStr">
        <is>
          <t>Used as dropdown values.</t>
        </is>
      </c>
    </row>
    <row r="104">
      <c r="A104" s="14" t="inlineStr">
        <is>
          <t>clinicalTStage</t>
        </is>
      </c>
      <c r="B104" s="14" t="n">
        <v>4</v>
      </c>
      <c r="C104" s="14" t="inlineStr">
        <is>
          <t>cT2a</t>
        </is>
      </c>
      <c r="D104" s="14" t="inlineStr">
        <is>
          <t>Used as dropdown values.</t>
        </is>
      </c>
    </row>
    <row r="105">
      <c r="A105" s="14" t="inlineStr">
        <is>
          <t>clinicalTStage</t>
        </is>
      </c>
      <c r="B105" s="14" t="n">
        <v>5</v>
      </c>
      <c r="C105" s="14" t="inlineStr">
        <is>
          <t>cT2b</t>
        </is>
      </c>
      <c r="D105" s="14" t="inlineStr">
        <is>
          <t>Used as dropdown values.</t>
        </is>
      </c>
    </row>
    <row r="106">
      <c r="A106" s="14" t="inlineStr">
        <is>
          <t>clinicalTStage</t>
        </is>
      </c>
      <c r="B106" s="14" t="n">
        <v>6</v>
      </c>
      <c r="C106" s="14" t="inlineStr">
        <is>
          <t>cT2c</t>
        </is>
      </c>
      <c r="D106" s="14" t="inlineStr">
        <is>
          <t>Used as dropdown values.</t>
        </is>
      </c>
    </row>
    <row r="107">
      <c r="A107" s="14" t="inlineStr">
        <is>
          <t>clinicalTStage</t>
        </is>
      </c>
      <c r="B107" s="14" t="n">
        <v>7</v>
      </c>
      <c r="C107" s="14" t="inlineStr">
        <is>
          <t>cT3a</t>
        </is>
      </c>
      <c r="D107" s="14" t="inlineStr">
        <is>
          <t>Used as dropdown values.</t>
        </is>
      </c>
    </row>
    <row r="108">
      <c r="A108" s="14" t="inlineStr">
        <is>
          <t>clinicalTStage</t>
        </is>
      </c>
      <c r="B108" s="14" t="n">
        <v>8</v>
      </c>
      <c r="C108" s="14" t="inlineStr">
        <is>
          <t>cT3b</t>
        </is>
      </c>
      <c r="D108" s="14" t="inlineStr">
        <is>
          <t>Used as dropdown values.</t>
        </is>
      </c>
    </row>
    <row r="109">
      <c r="A109" s="14" t="inlineStr">
        <is>
          <t>clinicalTStage</t>
        </is>
      </c>
      <c r="B109" s="14" t="n">
        <v>9</v>
      </c>
      <c r="C109" s="14" t="inlineStr">
        <is>
          <t>cT4</t>
        </is>
      </c>
      <c r="D109" s="14" t="inlineStr">
        <is>
          <t>Used as dropdown values.</t>
        </is>
      </c>
    </row>
    <row r="110">
      <c r="A110" s="14" t="inlineStr">
        <is>
          <t>nStage</t>
        </is>
      </c>
      <c r="B110" s="14" t="n">
        <v>1</v>
      </c>
      <c r="C110" s="14" t="inlineStr">
        <is>
          <t>cN0</t>
        </is>
      </c>
      <c r="D110" s="14" t="inlineStr">
        <is>
          <t>Used as dropdown values.</t>
        </is>
      </c>
    </row>
    <row r="111">
      <c r="A111" s="14" t="inlineStr">
        <is>
          <t>nStage</t>
        </is>
      </c>
      <c r="B111" s="14" t="n">
        <v>2</v>
      </c>
      <c r="C111" s="14" t="inlineStr">
        <is>
          <t>cN1</t>
        </is>
      </c>
      <c r="D111" s="14" t="inlineStr">
        <is>
          <t>Used as dropdown values.</t>
        </is>
      </c>
    </row>
    <row r="112">
      <c r="A112" s="14" t="inlineStr">
        <is>
          <t>nStage</t>
        </is>
      </c>
      <c r="B112" s="14" t="n">
        <v>3</v>
      </c>
      <c r="C112" s="14" t="inlineStr">
        <is>
          <t>cNX</t>
        </is>
      </c>
      <c r="D112" s="14" t="inlineStr">
        <is>
          <t>Used as dropdown values.</t>
        </is>
      </c>
    </row>
    <row r="113">
      <c r="A113" s="14" t="inlineStr">
        <is>
          <t>mStage</t>
        </is>
      </c>
      <c r="B113" s="14" t="n">
        <v>1</v>
      </c>
      <c r="C113" s="14" t="inlineStr">
        <is>
          <t>cM0</t>
        </is>
      </c>
      <c r="D113" s="14" t="inlineStr">
        <is>
          <t>Used as dropdown values.</t>
        </is>
      </c>
    </row>
    <row r="114">
      <c r="A114" s="14" t="inlineStr">
        <is>
          <t>mStage</t>
        </is>
      </c>
      <c r="B114" s="14" t="n">
        <v>2</v>
      </c>
      <c r="C114" s="14" t="inlineStr">
        <is>
          <t>M1a (Non-regional LN)</t>
        </is>
      </c>
      <c r="D114" s="14" t="inlineStr">
        <is>
          <t>Used as dropdown values.</t>
        </is>
      </c>
    </row>
    <row r="115">
      <c r="A115" s="14" t="inlineStr">
        <is>
          <t>mStage</t>
        </is>
      </c>
      <c r="B115" s="14" t="n">
        <v>3</v>
      </c>
      <c r="C115" s="14" t="inlineStr">
        <is>
          <t>M1b (Bone mets)</t>
        </is>
      </c>
      <c r="D115" s="14" t="inlineStr">
        <is>
          <t>Used as dropdown values.</t>
        </is>
      </c>
    </row>
    <row r="116">
      <c r="A116" s="14" t="inlineStr">
        <is>
          <t>mStage</t>
        </is>
      </c>
      <c r="B116" s="14" t="n">
        <v>4</v>
      </c>
      <c r="C116" s="14" t="inlineStr">
        <is>
          <t>M1c (Visceral mets)</t>
        </is>
      </c>
      <c r="D116" s="14" t="inlineStr">
        <is>
          <t>Used as dropdown values.</t>
        </is>
      </c>
    </row>
    <row r="117">
      <c r="A117" s="14" t="inlineStr">
        <is>
          <t>eauRiskCategory</t>
        </is>
      </c>
      <c r="B117" s="14" t="n">
        <v>1</v>
      </c>
      <c r="C117" s="14" t="inlineStr">
        <is>
          <t>Low</t>
        </is>
      </c>
      <c r="D117" s="14" t="inlineStr">
        <is>
          <t>Used as dropdown values.</t>
        </is>
      </c>
    </row>
    <row r="118">
      <c r="A118" s="14" t="inlineStr">
        <is>
          <t>eauRiskCategory</t>
        </is>
      </c>
      <c r="B118" s="14" t="n">
        <v>2</v>
      </c>
      <c r="C118" s="14" t="inlineStr">
        <is>
          <t>Intermediate – Favourable</t>
        </is>
      </c>
      <c r="D118" s="14" t="inlineStr">
        <is>
          <t>Used as dropdown values.</t>
        </is>
      </c>
    </row>
    <row r="119">
      <c r="A119" s="14" t="inlineStr">
        <is>
          <t>eauRiskCategory</t>
        </is>
      </c>
      <c r="B119" s="14" t="n">
        <v>3</v>
      </c>
      <c r="C119" s="14" t="inlineStr">
        <is>
          <t>Intermediate – Unfavourable</t>
        </is>
      </c>
      <c r="D119" s="14" t="inlineStr">
        <is>
          <t>Used as dropdown values.</t>
        </is>
      </c>
    </row>
    <row r="120">
      <c r="A120" s="14" t="inlineStr">
        <is>
          <t>eauRiskCategory</t>
        </is>
      </c>
      <c r="B120" s="14" t="n">
        <v>4</v>
      </c>
      <c r="C120" s="14" t="inlineStr">
        <is>
          <t>High</t>
        </is>
      </c>
      <c r="D120" s="14" t="inlineStr">
        <is>
          <t>Used as dropdown values.</t>
        </is>
      </c>
    </row>
    <row r="121">
      <c r="A121" s="14" t="inlineStr">
        <is>
          <t>eauRiskCategory</t>
        </is>
      </c>
      <c r="B121" s="14" t="n">
        <v>5</v>
      </c>
      <c r="C121" s="14" t="inlineStr">
        <is>
          <t>Very High / Locally Advanced</t>
        </is>
      </c>
      <c r="D121" s="14" t="inlineStr">
        <is>
          <t>Used as dropdown values.</t>
        </is>
      </c>
    </row>
    <row r="122">
      <c r="A122" s="14" t="inlineStr">
        <is>
          <t>eauRiskCategory</t>
        </is>
      </c>
      <c r="B122" s="14" t="n">
        <v>6</v>
      </c>
      <c r="C122" s="14" t="inlineStr">
        <is>
          <t>M1 – Metastatic HSPC</t>
        </is>
      </c>
      <c r="D122" s="14" t="inlineStr">
        <is>
          <t>Used as dropdown values.</t>
        </is>
      </c>
    </row>
    <row r="123">
      <c r="A123" s="14" t="inlineStr">
        <is>
          <t>ecogPerformanceStatus</t>
        </is>
      </c>
      <c r="B123" s="14" t="n">
        <v>1</v>
      </c>
      <c r="C123" s="14" t="inlineStr">
        <is>
          <t>0 – Fully active</t>
        </is>
      </c>
      <c r="D123" s="14" t="inlineStr">
        <is>
          <t>Used as dropdown values.</t>
        </is>
      </c>
    </row>
    <row r="124">
      <c r="A124" s="14" t="inlineStr">
        <is>
          <t>ecogPerformanceStatus</t>
        </is>
      </c>
      <c r="B124" s="14" t="n">
        <v>2</v>
      </c>
      <c r="C124" s="14" t="inlineStr">
        <is>
          <t>1 – Restricted strenuous activity</t>
        </is>
      </c>
      <c r="D124" s="14" t="inlineStr">
        <is>
          <t>Used as dropdown values.</t>
        </is>
      </c>
    </row>
    <row r="125">
      <c r="A125" s="14" t="inlineStr">
        <is>
          <t>ecogPerformanceStatus</t>
        </is>
      </c>
      <c r="B125" s="14" t="n">
        <v>3</v>
      </c>
      <c r="C125" s="14" t="inlineStr">
        <is>
          <t>2 – Ambulatory, self-care only</t>
        </is>
      </c>
      <c r="D125" s="14" t="inlineStr">
        <is>
          <t>Used as dropdown values.</t>
        </is>
      </c>
    </row>
    <row r="126">
      <c r="A126" s="14" t="inlineStr">
        <is>
          <t>ecogPerformanceStatus</t>
        </is>
      </c>
      <c r="B126" s="14" t="n">
        <v>4</v>
      </c>
      <c r="C126" s="14" t="inlineStr">
        <is>
          <t>3 – Limited self-care</t>
        </is>
      </c>
      <c r="D126" s="14" t="inlineStr">
        <is>
          <t>Used as dropdown values.</t>
        </is>
      </c>
    </row>
    <row r="127">
      <c r="A127" s="14" t="inlineStr">
        <is>
          <t>ecogPerformanceStatus</t>
        </is>
      </c>
      <c r="B127" s="14" t="n">
        <v>5</v>
      </c>
      <c r="C127" s="14" t="inlineStr">
        <is>
          <t>4 – Completely disabled</t>
        </is>
      </c>
      <c r="D127" s="14" t="inlineStr">
        <is>
          <t>Used as dropdown values.</t>
        </is>
      </c>
    </row>
    <row r="128">
      <c r="A128" s="14" t="inlineStr">
        <is>
          <t>castrationStatus</t>
        </is>
      </c>
      <c r="B128" s="14" t="n">
        <v>1</v>
      </c>
      <c r="C128" s="14" t="inlineStr">
        <is>
          <t>Hormone-sensitive (HSPC)</t>
        </is>
      </c>
      <c r="D128" s="14" t="inlineStr">
        <is>
          <t>Used as dropdown values.</t>
        </is>
      </c>
    </row>
    <row r="129">
      <c r="A129" s="14" t="inlineStr">
        <is>
          <t>castrationStatus</t>
        </is>
      </c>
      <c r="B129" s="14" t="n">
        <v>2</v>
      </c>
      <c r="C129" s="14" t="inlineStr">
        <is>
          <t>Castration-resistant (CRPC)</t>
        </is>
      </c>
      <c r="D129" s="14" t="inlineStr">
        <is>
          <t>Used as dropdown values.</t>
        </is>
      </c>
    </row>
    <row r="130">
      <c r="A130" s="14" t="inlineStr">
        <is>
          <t>castrationStatus</t>
        </is>
      </c>
      <c r="B130" s="14" t="n">
        <v>3</v>
      </c>
      <c r="C130" s="14" t="inlineStr">
        <is>
          <t>Not on ADT</t>
        </is>
      </c>
      <c r="D130" s="14" t="inlineStr">
        <is>
          <t>Used as dropdown values.</t>
        </is>
      </c>
    </row>
    <row r="131">
      <c r="A131" s="14" t="inlineStr">
        <is>
          <t>mpmriPelvis</t>
        </is>
      </c>
      <c r="B131" s="14" t="n">
        <v>1</v>
      </c>
      <c r="C131" s="14" t="inlineStr">
        <is>
          <t>Not done</t>
        </is>
      </c>
      <c r="D131" s="14" t="inlineStr">
        <is>
          <t>Used as dropdown values.</t>
        </is>
      </c>
    </row>
    <row r="132">
      <c r="A132" s="14" t="inlineStr">
        <is>
          <t>mpmriPelvis</t>
        </is>
      </c>
      <c r="B132" s="14" t="n">
        <v>2</v>
      </c>
      <c r="C132" s="14" t="inlineStr">
        <is>
          <t>Done — abnormal</t>
        </is>
      </c>
      <c r="D132" s="14" t="inlineStr">
        <is>
          <t>Used as dropdown values.</t>
        </is>
      </c>
    </row>
    <row r="133">
      <c r="A133" s="14" t="inlineStr">
        <is>
          <t>mpmriPelvis</t>
        </is>
      </c>
      <c r="B133" s="14" t="n">
        <v>3</v>
      </c>
      <c r="C133" s="14" t="inlineStr">
        <is>
          <t>Done — normal</t>
        </is>
      </c>
      <c r="D133" s="14" t="inlineStr">
        <is>
          <t>Used as dropdown values.</t>
        </is>
      </c>
    </row>
    <row r="134">
      <c r="A134" s="14" t="inlineStr">
        <is>
          <t>boneScanSpect</t>
        </is>
      </c>
      <c r="B134" s="14" t="n">
        <v>1</v>
      </c>
      <c r="C134" s="14" t="inlineStr">
        <is>
          <t>Not done</t>
        </is>
      </c>
      <c r="D134" s="14" t="inlineStr">
        <is>
          <t>Used as dropdown values.</t>
        </is>
      </c>
    </row>
    <row r="135">
      <c r="A135" s="14" t="inlineStr">
        <is>
          <t>boneScanSpect</t>
        </is>
      </c>
      <c r="B135" s="14" t="n">
        <v>2</v>
      </c>
      <c r="C135" s="14" t="inlineStr">
        <is>
          <t>Done — no metastases</t>
        </is>
      </c>
      <c r="D135" s="14" t="inlineStr">
        <is>
          <t>Used as dropdown values.</t>
        </is>
      </c>
    </row>
    <row r="136">
      <c r="A136" s="14" t="inlineStr">
        <is>
          <t>boneScanSpect</t>
        </is>
      </c>
      <c r="B136" s="14" t="n">
        <v>3</v>
      </c>
      <c r="C136" s="14" t="inlineStr">
        <is>
          <t>Done — bone metastases present</t>
        </is>
      </c>
      <c r="D136" s="14" t="inlineStr">
        <is>
          <t>Used as dropdown values.</t>
        </is>
      </c>
    </row>
    <row r="137">
      <c r="A137" s="14" t="inlineStr">
        <is>
          <t>psmaPetCt</t>
        </is>
      </c>
      <c r="B137" s="14" t="n">
        <v>1</v>
      </c>
      <c r="C137" s="14" t="inlineStr">
        <is>
          <t>Not done</t>
        </is>
      </c>
      <c r="D137" s="14" t="inlineStr">
        <is>
          <t>Used as dropdown values.</t>
        </is>
      </c>
    </row>
    <row r="138">
      <c r="A138" s="14" t="inlineStr">
        <is>
          <t>psmaPetCt</t>
        </is>
      </c>
      <c r="B138" s="14" t="n">
        <v>2</v>
      </c>
      <c r="C138" s="14" t="inlineStr">
        <is>
          <t>Done — no uptake</t>
        </is>
      </c>
      <c r="D138" s="14" t="inlineStr">
        <is>
          <t>Used as dropdown values.</t>
        </is>
      </c>
    </row>
    <row r="139">
      <c r="A139" s="14" t="inlineStr">
        <is>
          <t>psmaPetCt</t>
        </is>
      </c>
      <c r="B139" s="14" t="n">
        <v>3</v>
      </c>
      <c r="C139" s="14" t="inlineStr">
        <is>
          <t>Done — pelvic nodal uptake</t>
        </is>
      </c>
      <c r="D139" s="14" t="inlineStr">
        <is>
          <t>Used as dropdown values.</t>
        </is>
      </c>
    </row>
    <row r="140">
      <c r="A140" s="14" t="inlineStr">
        <is>
          <t>psmaPetCt</t>
        </is>
      </c>
      <c r="B140" s="14" t="n">
        <v>4</v>
      </c>
      <c r="C140" s="14" t="inlineStr">
        <is>
          <t>Done — distant metastases</t>
        </is>
      </c>
      <c r="D140" s="14" t="inlineStr">
        <is>
          <t>Used as dropdown values.</t>
        </is>
      </c>
    </row>
    <row r="141">
      <c r="A141" s="14" t="inlineStr">
        <is>
          <t>ctAbdomenPelvis</t>
        </is>
      </c>
      <c r="B141" s="14" t="n">
        <v>1</v>
      </c>
      <c r="C141" s="14" t="inlineStr">
        <is>
          <t>Not done</t>
        </is>
      </c>
      <c r="D141" s="14" t="inlineStr">
        <is>
          <t>Used as dropdown values.</t>
        </is>
      </c>
    </row>
    <row r="142">
      <c r="A142" s="14" t="inlineStr">
        <is>
          <t>ctAbdomenPelvis</t>
        </is>
      </c>
      <c r="B142" s="14" t="n">
        <v>2</v>
      </c>
      <c r="C142" s="14" t="inlineStr">
        <is>
          <t>Done — lymphadenopathy</t>
        </is>
      </c>
      <c r="D142" s="14" t="inlineStr">
        <is>
          <t>Used as dropdown values.</t>
        </is>
      </c>
    </row>
    <row r="143">
      <c r="A143" s="14" t="inlineStr">
        <is>
          <t>ctAbdomenPelvis</t>
        </is>
      </c>
      <c r="B143" s="14" t="n">
        <v>3</v>
      </c>
      <c r="C143" s="14" t="inlineStr">
        <is>
          <t>Done — normal</t>
        </is>
      </c>
      <c r="D143" s="14" t="inlineStr">
        <is>
          <t>Used as dropdown values.</t>
        </is>
      </c>
    </row>
    <row r="144">
      <c r="A144" s="14" t="inlineStr">
        <is>
          <t>dexaBoneDensity</t>
        </is>
      </c>
      <c r="B144" s="14" t="n">
        <v>1</v>
      </c>
      <c r="C144" s="14" t="inlineStr">
        <is>
          <t>Not done</t>
        </is>
      </c>
      <c r="D144" s="14" t="inlineStr">
        <is>
          <t>Used as dropdown values.</t>
        </is>
      </c>
    </row>
    <row r="145">
      <c r="A145" s="14" t="inlineStr">
        <is>
          <t>dexaBoneDensity</t>
        </is>
      </c>
      <c r="B145" s="14" t="n">
        <v>2</v>
      </c>
      <c r="C145" s="14" t="inlineStr">
        <is>
          <t>Normal (T-score ≥ −1)</t>
        </is>
      </c>
      <c r="D145" s="14" t="inlineStr">
        <is>
          <t>Used as dropdown values.</t>
        </is>
      </c>
    </row>
    <row r="146">
      <c r="A146" s="14" t="inlineStr">
        <is>
          <t>dexaBoneDensity</t>
        </is>
      </c>
      <c r="B146" s="14" t="n">
        <v>3</v>
      </c>
      <c r="C146" s="14" t="inlineStr">
        <is>
          <t>Osteopenia (T −1 to −2.5)</t>
        </is>
      </c>
      <c r="D146" s="14" t="inlineStr">
        <is>
          <t>Used as dropdown values.</t>
        </is>
      </c>
    </row>
    <row r="147">
      <c r="A147" s="14" t="inlineStr">
        <is>
          <t>dexaBoneDensity</t>
        </is>
      </c>
      <c r="B147" s="14" t="n">
        <v>4</v>
      </c>
      <c r="C147" s="14" t="inlineStr">
        <is>
          <t>Osteoporosis (T-score &lt; −2.5)</t>
        </is>
      </c>
      <c r="D147" s="14" t="inlineStr">
        <is>
          <t>Used as dropdown values.</t>
        </is>
      </c>
    </row>
    <row r="148">
      <c r="A148" s="14" t="inlineStr">
        <is>
          <t>germlineSomaticTesting</t>
        </is>
      </c>
      <c r="B148" s="14" t="n">
        <v>1</v>
      </c>
      <c r="C148" s="14" t="inlineStr">
        <is>
          <t>Not done</t>
        </is>
      </c>
      <c r="D148" s="14" t="inlineStr">
        <is>
          <t>Used as dropdown values.</t>
        </is>
      </c>
    </row>
    <row r="149">
      <c r="A149" s="14" t="inlineStr">
        <is>
          <t>germlineSomaticTesting</t>
        </is>
      </c>
      <c r="B149" s="14" t="n">
        <v>2</v>
      </c>
      <c r="C149" s="14" t="inlineStr">
        <is>
          <t>BRCA1/2 — pathogenic variant</t>
        </is>
      </c>
      <c r="D149" s="14" t="inlineStr">
        <is>
          <t>Used as dropdown values.</t>
        </is>
      </c>
    </row>
    <row r="150">
      <c r="A150" s="14" t="inlineStr">
        <is>
          <t>germlineSomaticTesting</t>
        </is>
      </c>
      <c r="B150" s="14" t="n">
        <v>3</v>
      </c>
      <c r="C150" s="14" t="inlineStr">
        <is>
          <t>BRCA1/2 — negative</t>
        </is>
      </c>
      <c r="D150" s="14" t="inlineStr">
        <is>
          <t>Used as dropdown values.</t>
        </is>
      </c>
    </row>
    <row r="151">
      <c r="A151" s="14" t="inlineStr">
        <is>
          <t>germlineSomaticTesting</t>
        </is>
      </c>
      <c r="B151" s="14" t="n">
        <v>4</v>
      </c>
      <c r="C151" s="14" t="inlineStr">
        <is>
          <t>MSI-H / dMMR</t>
        </is>
      </c>
      <c r="D151" s="14" t="inlineStr">
        <is>
          <t>Used as dropdown values.</t>
        </is>
      </c>
    </row>
    <row r="152">
      <c r="A152" s="14" t="inlineStr">
        <is>
          <t>germlineSomaticTesting</t>
        </is>
      </c>
      <c r="B152" s="14" t="n">
        <v>5</v>
      </c>
      <c r="C152" s="14" t="inlineStr">
        <is>
          <t>HRR mutation (non-BRCA)</t>
        </is>
      </c>
      <c r="D152" s="14" t="inlineStr">
        <is>
          <t>Used as dropdown values.</t>
        </is>
      </c>
    </row>
    <row r="153">
      <c r="A153" s="14" t="inlineStr">
        <is>
          <t>germlineSomaticTesting</t>
        </is>
      </c>
      <c r="B153" s="14" t="n">
        <v>6</v>
      </c>
      <c r="C153" s="14" t="inlineStr">
        <is>
          <t>Pending</t>
        </is>
      </c>
      <c r="D153" s="14" t="inlineStr">
        <is>
          <t>Used as dropdown values.</t>
        </is>
      </c>
    </row>
    <row r="154">
      <c r="A154" s="20" t="inlineStr">
        <is>
          <t>germlineSomaticTesting</t>
        </is>
      </c>
      <c r="B154" s="20" t="n">
        <v>7</v>
      </c>
      <c r="C154" s="20" t="inlineStr">
        <is>
          <t>ATM mutation</t>
        </is>
      </c>
      <c r="D154" s="20" t="inlineStr">
        <is>
          <t>PROPOSED (v3)</t>
        </is>
      </c>
    </row>
    <row r="155">
      <c r="A155" s="14" t="inlineStr">
        <is>
          <t>treatmentIntent</t>
        </is>
      </c>
      <c r="B155" s="14" t="n">
        <v>1</v>
      </c>
      <c r="C155" s="14" t="inlineStr">
        <is>
          <t>Curative</t>
        </is>
      </c>
      <c r="D155" s="14" t="inlineStr">
        <is>
          <t>Used as dropdown values.</t>
        </is>
      </c>
    </row>
    <row r="156">
      <c r="A156" s="14" t="inlineStr">
        <is>
          <t>treatmentIntent</t>
        </is>
      </c>
      <c r="B156" s="14" t="n">
        <v>2</v>
      </c>
      <c r="C156" s="14" t="inlineStr">
        <is>
          <t>Disease control (locally advanced)</t>
        </is>
      </c>
      <c r="D156" s="14" t="inlineStr">
        <is>
          <t>Used as dropdown values.</t>
        </is>
      </c>
    </row>
    <row r="157">
      <c r="A157" s="14" t="inlineStr">
        <is>
          <t>treatmentIntent</t>
        </is>
      </c>
      <c r="B157" s="14" t="n">
        <v>3</v>
      </c>
      <c r="C157" s="14" t="inlineStr">
        <is>
          <t>Palliative / Symptomatic</t>
        </is>
      </c>
      <c r="D157" s="14" t="inlineStr">
        <is>
          <t>Used as dropdown values.</t>
        </is>
      </c>
    </row>
    <row r="158">
      <c r="A158" s="14" t="inlineStr">
        <is>
          <t>treatmentIntent</t>
        </is>
      </c>
      <c r="B158" s="14" t="n">
        <v>4</v>
      </c>
      <c r="C158" s="14" t="inlineStr">
        <is>
          <t>Active surveillance</t>
        </is>
      </c>
      <c r="D158" s="14" t="inlineStr">
        <is>
          <t>Used as dropdown values.</t>
        </is>
      </c>
    </row>
    <row r="159">
      <c r="A159" s="14" t="inlineStr">
        <is>
          <t>treatmentIntent</t>
        </is>
      </c>
      <c r="B159" s="14" t="n">
        <v>5</v>
      </c>
      <c r="C159" s="14" t="inlineStr">
        <is>
          <t>Watchful waiting</t>
        </is>
      </c>
      <c r="D159" s="14" t="inlineStr">
        <is>
          <t>Used as dropdown values.</t>
        </is>
      </c>
    </row>
    <row r="160">
      <c r="A160" s="14" t="inlineStr">
        <is>
          <t>mdtStatus</t>
        </is>
      </c>
      <c r="B160" s="14" t="n">
        <v>1</v>
      </c>
      <c r="C160" s="14" t="inlineStr">
        <is>
          <t>Pending review</t>
        </is>
      </c>
      <c r="D160" s="14" t="inlineStr">
        <is>
          <t>Used as dropdown values.</t>
        </is>
      </c>
    </row>
    <row r="161">
      <c r="A161" s="14" t="inlineStr">
        <is>
          <t>mdtStatus</t>
        </is>
      </c>
      <c r="B161" s="14" t="n">
        <v>2</v>
      </c>
      <c r="C161" s="14" t="inlineStr">
        <is>
          <t>Reviewed — plan agreed</t>
        </is>
      </c>
      <c r="D161" s="14" t="inlineStr">
        <is>
          <t>Used as dropdown values.</t>
        </is>
      </c>
    </row>
    <row r="162">
      <c r="A162" s="14" t="inlineStr">
        <is>
          <t>mdtStatus</t>
        </is>
      </c>
      <c r="B162" s="14" t="n">
        <v>3</v>
      </c>
      <c r="C162" s="14" t="inlineStr">
        <is>
          <t>Not applicable</t>
        </is>
      </c>
      <c r="D162" s="14" t="inlineStr">
        <is>
          <t>Used as dropdown values.</t>
        </is>
      </c>
    </row>
    <row r="163">
      <c r="A163" s="14" t="inlineStr">
        <is>
          <t>clinicalTrialEligibility</t>
        </is>
      </c>
      <c r="B163" s="14" t="n">
        <v>1</v>
      </c>
      <c r="C163" s="14" t="inlineStr">
        <is>
          <t>Not screened</t>
        </is>
      </c>
      <c r="D163" s="14" t="inlineStr">
        <is>
          <t>Used as dropdown values.</t>
        </is>
      </c>
    </row>
    <row r="164">
      <c r="A164" s="14" t="inlineStr">
        <is>
          <t>clinicalTrialEligibility</t>
        </is>
      </c>
      <c r="B164" s="14" t="n">
        <v>2</v>
      </c>
      <c r="C164" s="14" t="inlineStr">
        <is>
          <t>Eligible — under screening</t>
        </is>
      </c>
      <c r="D164" s="14" t="inlineStr">
        <is>
          <t>Used as dropdown values.</t>
        </is>
      </c>
    </row>
    <row r="165">
      <c r="A165" s="14" t="inlineStr">
        <is>
          <t>clinicalTrialEligibility</t>
        </is>
      </c>
      <c r="B165" s="14" t="n">
        <v>3</v>
      </c>
      <c r="C165" s="14" t="inlineStr">
        <is>
          <t>Enrolled in trial</t>
        </is>
      </c>
      <c r="D165" s="14" t="inlineStr">
        <is>
          <t>Used as dropdown values.</t>
        </is>
      </c>
    </row>
    <row r="166">
      <c r="A166" s="14" t="inlineStr">
        <is>
          <t>clinicalTrialEligibility</t>
        </is>
      </c>
      <c r="B166" s="14" t="n">
        <v>4</v>
      </c>
      <c r="C166" s="14" t="inlineStr">
        <is>
          <t>Not eligible</t>
        </is>
      </c>
      <c r="D166" s="14" t="inlineStr">
        <is>
          <t>Used as dropdown values.</t>
        </is>
      </c>
    </row>
    <row r="167">
      <c r="A167" s="14" t="inlineStr">
        <is>
          <t>adtType</t>
        </is>
      </c>
      <c r="B167" s="14" t="n">
        <v>1</v>
      </c>
      <c r="C167" s="14" t="inlineStr">
        <is>
          <t>Not on ADT</t>
        </is>
      </c>
      <c r="D167" s="14" t="inlineStr">
        <is>
          <t>Used as dropdown values.</t>
        </is>
      </c>
    </row>
    <row r="168">
      <c r="A168" s="14" t="inlineStr">
        <is>
          <t>adtType</t>
        </is>
      </c>
      <c r="B168" s="14" t="n">
        <v>2</v>
      </c>
      <c r="C168" s="14" t="inlineStr">
        <is>
          <t>LHRH Agonist (Leuprolide / Lupride)</t>
        </is>
      </c>
      <c r="D168" s="14" t="inlineStr">
        <is>
          <t>Used as dropdown values.</t>
        </is>
      </c>
    </row>
    <row r="169">
      <c r="A169" s="14" t="inlineStr">
        <is>
          <t>adtType</t>
        </is>
      </c>
      <c r="B169" s="14" t="n">
        <v>3</v>
      </c>
      <c r="C169" s="14" t="inlineStr">
        <is>
          <t>LHRH Agonist (Triptorelin / Decapeptyl)</t>
        </is>
      </c>
      <c r="D169" s="14" t="inlineStr">
        <is>
          <t>Used as dropdown values.</t>
        </is>
      </c>
    </row>
    <row r="170">
      <c r="A170" s="14" t="inlineStr">
        <is>
          <t>adtType</t>
        </is>
      </c>
      <c r="B170" s="14" t="n">
        <v>4</v>
      </c>
      <c r="C170" s="14" t="inlineStr">
        <is>
          <t>LHRH Agonist (Goserelin / Zoladex)</t>
        </is>
      </c>
      <c r="D170" s="14" t="inlineStr">
        <is>
          <t>Used as dropdown values.</t>
        </is>
      </c>
    </row>
    <row r="171">
      <c r="A171" s="14" t="inlineStr">
        <is>
          <t>adtType</t>
        </is>
      </c>
      <c r="B171" s="14" t="n">
        <v>5</v>
      </c>
      <c r="C171" s="14" t="inlineStr">
        <is>
          <t>GnRH Antagonist (Degarelix / Firmagon)</t>
        </is>
      </c>
      <c r="D171" s="14" t="inlineStr">
        <is>
          <t>Used as dropdown values.</t>
        </is>
      </c>
    </row>
    <row r="172">
      <c r="A172" s="14" t="inlineStr">
        <is>
          <t>adtType</t>
        </is>
      </c>
      <c r="B172" s="14" t="n">
        <v>6</v>
      </c>
      <c r="C172" s="14" t="inlineStr">
        <is>
          <t>Bilateral orchidectomy</t>
        </is>
      </c>
      <c r="D172" s="14" t="inlineStr">
        <is>
          <t>Used as dropdown values.</t>
        </is>
      </c>
    </row>
    <row r="173">
      <c r="A173" s="14" t="inlineStr">
        <is>
          <t>formulationDose</t>
        </is>
      </c>
      <c r="B173" s="14" t="n">
        <v>1</v>
      </c>
      <c r="C173" s="14" t="inlineStr">
        <is>
          <t>Leuprolide 11.25 mg (monthly)</t>
        </is>
      </c>
      <c r="D173" s="14" t="inlineStr">
        <is>
          <t>Used as dropdown values.</t>
        </is>
      </c>
    </row>
    <row r="174">
      <c r="A174" s="14" t="inlineStr">
        <is>
          <t>formulationDose</t>
        </is>
      </c>
      <c r="B174" s="14" t="n">
        <v>2</v>
      </c>
      <c r="C174" s="14" t="inlineStr">
        <is>
          <t>Leuprolide 22.5 mg depot (3-monthly)</t>
        </is>
      </c>
      <c r="D174" s="14" t="inlineStr">
        <is>
          <t>Used as dropdown values.</t>
        </is>
      </c>
    </row>
    <row r="175">
      <c r="A175" s="14" t="inlineStr">
        <is>
          <t>formulationDose</t>
        </is>
      </c>
      <c r="B175" s="14" t="n">
        <v>3</v>
      </c>
      <c r="C175" s="14" t="inlineStr">
        <is>
          <t>Leuprolide 45 mg depot (6-monthly)</t>
        </is>
      </c>
      <c r="D175" s="14" t="inlineStr">
        <is>
          <t>Used as dropdown values.</t>
        </is>
      </c>
    </row>
    <row r="176">
      <c r="A176" s="14" t="inlineStr">
        <is>
          <t>formulationDose</t>
        </is>
      </c>
      <c r="B176" s="14" t="n">
        <v>4</v>
      </c>
      <c r="C176" s="14" t="inlineStr">
        <is>
          <t>Goserelin 3.6 mg (monthly)</t>
        </is>
      </c>
      <c r="D176" s="14" t="inlineStr">
        <is>
          <t>Used as dropdown values.</t>
        </is>
      </c>
    </row>
    <row r="177">
      <c r="A177" s="14" t="inlineStr">
        <is>
          <t>formulationDose</t>
        </is>
      </c>
      <c r="B177" s="14" t="n">
        <v>5</v>
      </c>
      <c r="C177" s="14" t="inlineStr">
        <is>
          <t>Goserelin 10.8 mg (3-monthly)</t>
        </is>
      </c>
      <c r="D177" s="14" t="inlineStr">
        <is>
          <t>Used as dropdown values.</t>
        </is>
      </c>
    </row>
    <row r="178">
      <c r="A178" s="14" t="inlineStr">
        <is>
          <t>antiAndrogen</t>
        </is>
      </c>
      <c r="B178" s="14" t="n">
        <v>1</v>
      </c>
      <c r="C178" s="14" t="inlineStr">
        <is>
          <t>None</t>
        </is>
      </c>
      <c r="D178" s="14" t="inlineStr">
        <is>
          <t>Used as dropdown values.</t>
        </is>
      </c>
    </row>
    <row r="179">
      <c r="A179" s="14" t="inlineStr">
        <is>
          <t>antiAndrogen</t>
        </is>
      </c>
      <c r="B179" s="14" t="n">
        <v>2</v>
      </c>
      <c r="C179" s="14" t="inlineStr">
        <is>
          <t>Bicalutamide 50 mg OD (flare cover)</t>
        </is>
      </c>
      <c r="D179" s="14" t="inlineStr">
        <is>
          <t>Used as dropdown values.</t>
        </is>
      </c>
    </row>
    <row r="180">
      <c r="A180" s="14" t="inlineStr">
        <is>
          <t>antiAndrogen</t>
        </is>
      </c>
      <c r="B180" s="14" t="n">
        <v>3</v>
      </c>
      <c r="C180" s="14" t="inlineStr">
        <is>
          <t>Bicalutamide 150 mg OD</t>
        </is>
      </c>
      <c r="D180" s="14" t="inlineStr">
        <is>
          <t>Used as dropdown values.</t>
        </is>
      </c>
    </row>
    <row r="181">
      <c r="A181" s="14" t="inlineStr">
        <is>
          <t>antiAndrogen</t>
        </is>
      </c>
      <c r="B181" s="14" t="n">
        <v>4</v>
      </c>
      <c r="C181" s="14" t="inlineStr">
        <is>
          <t>Enzalutamide 160 mg OD</t>
        </is>
      </c>
      <c r="D181" s="14" t="inlineStr">
        <is>
          <t>Used as dropdown values.</t>
        </is>
      </c>
    </row>
    <row r="182">
      <c r="A182" s="14" t="inlineStr">
        <is>
          <t>antiAndrogen</t>
        </is>
      </c>
      <c r="B182" s="14" t="n">
        <v>5</v>
      </c>
      <c r="C182" s="14" t="inlineStr">
        <is>
          <t>Apalutamide 240 mg OD</t>
        </is>
      </c>
      <c r="D182" s="14" t="inlineStr">
        <is>
          <t>Used as dropdown values.</t>
        </is>
      </c>
    </row>
    <row r="183">
      <c r="A183" s="14" t="inlineStr">
        <is>
          <t>antiAndrogen</t>
        </is>
      </c>
      <c r="B183" s="14" t="n">
        <v>6</v>
      </c>
      <c r="C183" s="14" t="inlineStr">
        <is>
          <t>Darolutamide 1200 mg/day</t>
        </is>
      </c>
      <c r="D183" s="14" t="inlineStr">
        <is>
          <t>Used as dropdown values.</t>
        </is>
      </c>
    </row>
    <row r="184">
      <c r="A184" s="14" t="inlineStr">
        <is>
          <t>arsiIntensification</t>
        </is>
      </c>
      <c r="B184" s="14" t="n">
        <v>1</v>
      </c>
      <c r="C184" s="14" t="inlineStr">
        <is>
          <t>Not initiated</t>
        </is>
      </c>
      <c r="D184" s="14" t="inlineStr">
        <is>
          <t>Used as dropdown values.</t>
        </is>
      </c>
    </row>
    <row r="185">
      <c r="A185" s="14" t="inlineStr">
        <is>
          <t>arsiIntensification</t>
        </is>
      </c>
      <c r="B185" s="14" t="n">
        <v>2</v>
      </c>
      <c r="C185" s="14" t="inlineStr">
        <is>
          <t>Abiraterone + Prednisone (Zytiga / generic)</t>
        </is>
      </c>
      <c r="D185" s="14" t="inlineStr">
        <is>
          <t>Used as dropdown values.</t>
        </is>
      </c>
    </row>
    <row r="186">
      <c r="A186" s="14" t="inlineStr">
        <is>
          <t>arsiIntensification</t>
        </is>
      </c>
      <c r="B186" s="14" t="n">
        <v>3</v>
      </c>
      <c r="C186" s="14" t="inlineStr">
        <is>
          <t>Enzalutamide (Xtandi)</t>
        </is>
      </c>
      <c r="D186" s="14" t="inlineStr">
        <is>
          <t>Used as dropdown values.</t>
        </is>
      </c>
    </row>
    <row r="187">
      <c r="A187" s="14" t="inlineStr">
        <is>
          <t>arsiIntensification</t>
        </is>
      </c>
      <c r="B187" s="14" t="n">
        <v>4</v>
      </c>
      <c r="C187" s="14" t="inlineStr">
        <is>
          <t>Apalutamide (Erleada)</t>
        </is>
      </c>
      <c r="D187" s="14" t="inlineStr">
        <is>
          <t>Used as dropdown values.</t>
        </is>
      </c>
    </row>
    <row r="188">
      <c r="A188" s="14" t="inlineStr">
        <is>
          <t>arsiIntensification</t>
        </is>
      </c>
      <c r="B188" s="14" t="n">
        <v>5</v>
      </c>
      <c r="C188" s="14" t="inlineStr">
        <is>
          <t>Darolutamide (Nubeqa)</t>
        </is>
      </c>
      <c r="D188" s="14" t="inlineStr">
        <is>
          <t>Used as dropdown values.</t>
        </is>
      </c>
    </row>
    <row r="189">
      <c r="A189" s="14" t="inlineStr">
        <is>
          <t>chemotherapyRegimen</t>
        </is>
      </c>
      <c r="B189" s="14" t="n">
        <v>1</v>
      </c>
      <c r="C189" s="14" t="inlineStr">
        <is>
          <t>Not indicated / Not started</t>
        </is>
      </c>
      <c r="D189" s="14" t="inlineStr">
        <is>
          <t>Used as dropdown values.</t>
        </is>
      </c>
    </row>
    <row r="190">
      <c r="A190" s="14" t="inlineStr">
        <is>
          <t>chemotherapyRegimen</t>
        </is>
      </c>
      <c r="B190" s="14" t="n">
        <v>2</v>
      </c>
      <c r="C190" s="14" t="inlineStr">
        <is>
          <t>Docetaxel 75 mg/m² q3w</t>
        </is>
      </c>
      <c r="D190" s="14" t="inlineStr">
        <is>
          <t>Used as dropdown values.</t>
        </is>
      </c>
    </row>
    <row r="191">
      <c r="A191" s="14" t="inlineStr">
        <is>
          <t>chemotherapyRegimen</t>
        </is>
      </c>
      <c r="B191" s="14" t="n">
        <v>3</v>
      </c>
      <c r="C191" s="14" t="inlineStr">
        <is>
          <t>Cabazitaxel 25 mg/m² q3w</t>
        </is>
      </c>
      <c r="D191" s="14" t="inlineStr">
        <is>
          <t>Used as dropdown values.</t>
        </is>
      </c>
    </row>
    <row r="192">
      <c r="A192" s="14" t="inlineStr">
        <is>
          <t>chemotherapyRegimen</t>
        </is>
      </c>
      <c r="B192" s="14" t="n">
        <v>4</v>
      </c>
      <c r="C192" s="14" t="inlineStr">
        <is>
          <t>Docetaxel → Cabazitaxel (sequential)</t>
        </is>
      </c>
      <c r="D192" s="14" t="inlineStr">
        <is>
          <t>Used as dropdown values.</t>
        </is>
      </c>
    </row>
    <row r="193">
      <c r="A193" s="14" t="inlineStr">
        <is>
          <t>rtIndication</t>
        </is>
      </c>
      <c r="B193" s="14" t="n">
        <v>1</v>
      </c>
      <c r="C193" s="14" t="inlineStr">
        <is>
          <t>Not planned</t>
        </is>
      </c>
      <c r="D193" s="14" t="inlineStr">
        <is>
          <t>Used as dropdown values.</t>
        </is>
      </c>
    </row>
    <row r="194">
      <c r="A194" s="14" t="inlineStr">
        <is>
          <t>rtIndication</t>
        </is>
      </c>
      <c r="B194" s="14" t="n">
        <v>2</v>
      </c>
      <c r="C194" s="14" t="inlineStr">
        <is>
          <t>Definitive RT (prostate ± LN)</t>
        </is>
      </c>
      <c r="D194" s="14" t="inlineStr">
        <is>
          <t>Used as dropdown values.</t>
        </is>
      </c>
    </row>
    <row r="195">
      <c r="A195" s="14" t="inlineStr">
        <is>
          <t>rtIndication</t>
        </is>
      </c>
      <c r="B195" s="14" t="n">
        <v>3</v>
      </c>
      <c r="C195" s="14" t="inlineStr">
        <is>
          <t>Planned — awaiting CGHS approval</t>
        </is>
      </c>
      <c r="D195" s="14" t="inlineStr">
        <is>
          <t>Used as dropdown values.</t>
        </is>
      </c>
    </row>
    <row r="196">
      <c r="A196" s="14" t="inlineStr">
        <is>
          <t>rtIndication</t>
        </is>
      </c>
      <c r="B196" s="14" t="n">
        <v>4</v>
      </c>
      <c r="C196" s="14" t="inlineStr">
        <is>
          <t>Salvage RT (post-RP)</t>
        </is>
      </c>
      <c r="D196" s="14" t="inlineStr">
        <is>
          <t>Used as dropdown values.</t>
        </is>
      </c>
    </row>
    <row r="197">
      <c r="A197" s="14" t="inlineStr">
        <is>
          <t>rtIndication</t>
        </is>
      </c>
      <c r="B197" s="14" t="n">
        <v>5</v>
      </c>
      <c r="C197" s="14" t="inlineStr">
        <is>
          <t>Palliative RT (bone mets)</t>
        </is>
      </c>
      <c r="D197" s="14" t="inlineStr">
        <is>
          <t>Used as dropdown values.</t>
        </is>
      </c>
    </row>
    <row r="198">
      <c r="A198" s="14" t="inlineStr">
        <is>
          <t>rtModality</t>
        </is>
      </c>
      <c r="B198" s="14" t="n">
        <v>1</v>
      </c>
      <c r="C198" s="14" t="inlineStr">
        <is>
          <t>IMRT / VMAT</t>
        </is>
      </c>
      <c r="D198" s="14" t="inlineStr">
        <is>
          <t>Used as dropdown values.</t>
        </is>
      </c>
    </row>
    <row r="199">
      <c r="A199" s="14" t="inlineStr">
        <is>
          <t>rtModality</t>
        </is>
      </c>
      <c r="B199" s="14" t="n">
        <v>2</v>
      </c>
      <c r="C199" s="14" t="inlineStr">
        <is>
          <t>3D-CRT</t>
        </is>
      </c>
      <c r="D199" s="14" t="inlineStr">
        <is>
          <t>Used as dropdown values.</t>
        </is>
      </c>
    </row>
    <row r="200">
      <c r="A200" s="14" t="inlineStr">
        <is>
          <t>rtModality</t>
        </is>
      </c>
      <c r="B200" s="14" t="n">
        <v>3</v>
      </c>
      <c r="C200" s="14" t="inlineStr">
        <is>
          <t>SBRT (5 fractions)</t>
        </is>
      </c>
      <c r="D200" s="14" t="inlineStr">
        <is>
          <t>Used as dropdown values.</t>
        </is>
      </c>
    </row>
    <row r="201">
      <c r="A201" s="14" t="inlineStr">
        <is>
          <t>rtModality</t>
        </is>
      </c>
      <c r="B201" s="14" t="n">
        <v>4</v>
      </c>
      <c r="C201" s="14" t="inlineStr">
        <is>
          <t>LDR Brachytherapy</t>
        </is>
      </c>
      <c r="D201" s="14" t="inlineStr">
        <is>
          <t>Used as dropdown values.</t>
        </is>
      </c>
    </row>
    <row r="202">
      <c r="A202" s="14" t="inlineStr">
        <is>
          <t>rtModality</t>
        </is>
      </c>
      <c r="B202" s="14" t="n">
        <v>5</v>
      </c>
      <c r="C202" s="14" t="inlineStr">
        <is>
          <t>HDR Brachytherapy boost</t>
        </is>
      </c>
      <c r="D202" s="14" t="inlineStr">
        <is>
          <t>Used as dropdown values.</t>
        </is>
      </c>
    </row>
    <row r="203">
      <c r="A203" s="14" t="inlineStr">
        <is>
          <t>rtModality</t>
        </is>
      </c>
      <c r="B203" s="14" t="n">
        <v>6</v>
      </c>
      <c r="C203" s="14" t="inlineStr">
        <is>
          <t>Proton therapy</t>
        </is>
      </c>
      <c r="D203" s="14" t="inlineStr">
        <is>
          <t>Used as dropdown values.</t>
        </is>
      </c>
    </row>
    <row r="204">
      <c r="A204" s="14" t="inlineStr">
        <is>
          <t>rtStatus</t>
        </is>
      </c>
      <c r="B204" s="14" t="n">
        <v>1</v>
      </c>
      <c r="C204" s="14" t="inlineStr">
        <is>
          <t>Not started</t>
        </is>
      </c>
      <c r="D204" s="14" t="inlineStr">
        <is>
          <t>Used as dropdown values.</t>
        </is>
      </c>
    </row>
    <row r="205">
      <c r="A205" s="14" t="inlineStr">
        <is>
          <t>rtStatus</t>
        </is>
      </c>
      <c r="B205" s="14" t="n">
        <v>2</v>
      </c>
      <c r="C205" s="14" t="inlineStr">
        <is>
          <t>Planned</t>
        </is>
      </c>
      <c r="D205" s="14" t="inlineStr">
        <is>
          <t>Used as dropdown values.</t>
        </is>
      </c>
    </row>
    <row r="206">
      <c r="A206" s="14" t="inlineStr">
        <is>
          <t>rtStatus</t>
        </is>
      </c>
      <c r="B206" s="14" t="n">
        <v>3</v>
      </c>
      <c r="C206" s="14" t="inlineStr">
        <is>
          <t>Active / Ongoing</t>
        </is>
      </c>
      <c r="D206" s="14" t="inlineStr">
        <is>
          <t>Used as dropdown values.</t>
        </is>
      </c>
    </row>
    <row r="207">
      <c r="A207" s="14" t="inlineStr">
        <is>
          <t>rtStatus</t>
        </is>
      </c>
      <c r="B207" s="14" t="n">
        <v>4</v>
      </c>
      <c r="C207" s="14" t="inlineStr">
        <is>
          <t>Completed</t>
        </is>
      </c>
      <c r="D207" s="14" t="inlineStr">
        <is>
          <t>Used as dropdown values.</t>
        </is>
      </c>
    </row>
    <row r="208">
      <c r="A208" s="14" t="inlineStr">
        <is>
          <t>rtStatus</t>
        </is>
      </c>
      <c r="B208" s="14" t="n">
        <v>5</v>
      </c>
      <c r="C208" s="14" t="inlineStr">
        <is>
          <t>Deferred / Cancelled</t>
        </is>
      </c>
      <c r="D208" s="14" t="inlineStr">
        <is>
          <t>Used as dropdown values.</t>
        </is>
      </c>
    </row>
    <row r="209">
      <c r="A209" s="14" t="inlineStr">
        <is>
          <t>targetVolume</t>
        </is>
      </c>
      <c r="B209" s="14" t="n">
        <v>1</v>
      </c>
      <c r="C209" s="14" t="inlineStr">
        <is>
          <t>Prostate only</t>
        </is>
      </c>
      <c r="D209" s="14" t="inlineStr">
        <is>
          <t>Used as dropdown values.</t>
        </is>
      </c>
    </row>
    <row r="210">
      <c r="A210" s="14" t="inlineStr">
        <is>
          <t>targetVolume</t>
        </is>
      </c>
      <c r="B210" s="14" t="n">
        <v>2</v>
      </c>
      <c r="C210" s="14" t="inlineStr">
        <is>
          <t>Prostate + Whole Pelvis</t>
        </is>
      </c>
      <c r="D210" s="14" t="inlineStr">
        <is>
          <t>Used as dropdown values.</t>
        </is>
      </c>
    </row>
    <row r="211">
      <c r="A211" s="14" t="inlineStr">
        <is>
          <t>targetVolume</t>
        </is>
      </c>
      <c r="B211" s="14" t="n">
        <v>3</v>
      </c>
      <c r="C211" s="14" t="inlineStr">
        <is>
          <t>Prostate + SV + LN</t>
        </is>
      </c>
      <c r="D211" s="14" t="inlineStr">
        <is>
          <t>Used as dropdown values.</t>
        </is>
      </c>
    </row>
    <row r="212">
      <c r="A212" s="14" t="inlineStr">
        <is>
          <t>doseFractionation</t>
        </is>
      </c>
      <c r="B212" s="14" t="n">
        <v>1</v>
      </c>
      <c r="C212" s="14" t="inlineStr">
        <is>
          <t>60 Gy / 20 fx (moderate hypofractionation)</t>
        </is>
      </c>
      <c r="D212" s="14" t="inlineStr">
        <is>
          <t>Used as dropdown values.</t>
        </is>
      </c>
    </row>
    <row r="213">
      <c r="A213" s="14" t="inlineStr">
        <is>
          <t>doseFractionation</t>
        </is>
      </c>
      <c r="B213" s="14" t="n">
        <v>2</v>
      </c>
      <c r="C213" s="14" t="inlineStr">
        <is>
          <t>78 Gy / 39 fx (conventional)</t>
        </is>
      </c>
      <c r="D213" s="14" t="inlineStr">
        <is>
          <t>Used as dropdown values.</t>
        </is>
      </c>
    </row>
    <row r="214">
      <c r="A214" s="14" t="inlineStr">
        <is>
          <t>doseFractionation</t>
        </is>
      </c>
      <c r="B214" s="14" t="n">
        <v>3</v>
      </c>
      <c r="C214" s="14" t="inlineStr">
        <is>
          <t>36.25 Gy / 5 fx (SBRT)</t>
        </is>
      </c>
      <c r="D214" s="14" t="inlineStr">
        <is>
          <t>Used as dropdown values.</t>
        </is>
      </c>
    </row>
    <row r="215">
      <c r="A215" s="14" t="inlineStr">
        <is>
          <t>doseFractionation</t>
        </is>
      </c>
      <c r="B215" s="14" t="n">
        <v>4</v>
      </c>
      <c r="C215" s="14" t="inlineStr">
        <is>
          <t>Other / to be defined</t>
        </is>
      </c>
      <c r="D215" s="14" t="inlineStr">
        <is>
          <t>Used as dropdown values.</t>
        </is>
      </c>
    </row>
    <row r="216">
      <c r="A216" s="14" t="inlineStr">
        <is>
          <t>rtFacility</t>
        </is>
      </c>
      <c r="B216" s="14" t="n">
        <v>1</v>
      </c>
      <c r="C216" s="14" t="inlineStr">
        <is>
          <t>AIIMS New Delhi</t>
        </is>
      </c>
      <c r="D216" s="14" t="inlineStr">
        <is>
          <t>Used as dropdown values.</t>
        </is>
      </c>
    </row>
    <row r="217">
      <c r="A217" s="14" t="inlineStr">
        <is>
          <t>rtFacility</t>
        </is>
      </c>
      <c r="B217" s="14" t="n">
        <v>2</v>
      </c>
      <c r="C217" s="14" t="inlineStr">
        <is>
          <t>Tata Memorial Centre</t>
        </is>
      </c>
      <c r="D217" s="14" t="inlineStr">
        <is>
          <t>Used as dropdown values.</t>
        </is>
      </c>
    </row>
    <row r="218">
      <c r="A218" s="14" t="inlineStr">
        <is>
          <t>rtFacility</t>
        </is>
      </c>
      <c r="B218" s="14" t="n">
        <v>3</v>
      </c>
      <c r="C218" s="14" t="inlineStr">
        <is>
          <t>RGCI Delhi</t>
        </is>
      </c>
      <c r="D218" s="14" t="inlineStr">
        <is>
          <t>Used as dropdown values.</t>
        </is>
      </c>
    </row>
    <row r="219">
      <c r="A219" s="14" t="inlineStr">
        <is>
          <t>rtFacility</t>
        </is>
      </c>
      <c r="B219" s="14" t="n">
        <v>4</v>
      </c>
      <c r="C219" s="14" t="inlineStr">
        <is>
          <t>Max Cancer Centre</t>
        </is>
      </c>
      <c r="D219" s="14" t="inlineStr">
        <is>
          <t>Used as dropdown values.</t>
        </is>
      </c>
    </row>
    <row r="220">
      <c r="A220" s="14" t="inlineStr">
        <is>
          <t>rtFacility</t>
        </is>
      </c>
      <c r="B220" s="14" t="n">
        <v>5</v>
      </c>
      <c r="C220" s="14" t="inlineStr">
        <is>
          <t>Fortis</t>
        </is>
      </c>
      <c r="D220" s="14" t="inlineStr">
        <is>
          <t>Used as dropdown values.</t>
        </is>
      </c>
    </row>
    <row r="221">
      <c r="A221" s="14" t="inlineStr">
        <is>
          <t>rtFacility</t>
        </is>
      </c>
      <c r="B221" s="14" t="n">
        <v>6</v>
      </c>
      <c r="C221" s="14" t="inlineStr">
        <is>
          <t>Govt. Regional Cancer Centre</t>
        </is>
      </c>
      <c r="D221" s="14" t="inlineStr">
        <is>
          <t>Used as dropdown values.</t>
        </is>
      </c>
    </row>
    <row r="222">
      <c r="A222" s="14" t="inlineStr">
        <is>
          <t>cghsPreauthStatus</t>
        </is>
      </c>
      <c r="B222" s="14" t="n">
        <v>1</v>
      </c>
      <c r="C222" s="14" t="inlineStr">
        <is>
          <t>Not required</t>
        </is>
      </c>
      <c r="D222" s="14" t="inlineStr">
        <is>
          <t>Used as dropdown values.</t>
        </is>
      </c>
    </row>
    <row r="223">
      <c r="A223" s="14" t="inlineStr">
        <is>
          <t>cghsPreauthStatus</t>
        </is>
      </c>
      <c r="B223" s="14" t="n">
        <v>2</v>
      </c>
      <c r="C223" s="14" t="inlineStr">
        <is>
          <t>Not initiated</t>
        </is>
      </c>
      <c r="D223" s="14" t="inlineStr">
        <is>
          <t>Used as dropdown values.</t>
        </is>
      </c>
    </row>
    <row r="224">
      <c r="A224" s="14" t="inlineStr">
        <is>
          <t>cghsPreauthStatus</t>
        </is>
      </c>
      <c r="B224" s="14" t="n">
        <v>3</v>
      </c>
      <c r="C224" s="14" t="inlineStr">
        <is>
          <t>Pending</t>
        </is>
      </c>
      <c r="D224" s="14" t="inlineStr">
        <is>
          <t>Used as dropdown values.</t>
        </is>
      </c>
    </row>
    <row r="225">
      <c r="A225" s="14" t="inlineStr">
        <is>
          <t>cghsPreauthStatus</t>
        </is>
      </c>
      <c r="B225" s="14" t="n">
        <v>4</v>
      </c>
      <c r="C225" s="14" t="inlineStr">
        <is>
          <t>Approved</t>
        </is>
      </c>
      <c r="D225" s="14" t="inlineStr">
        <is>
          <t>Used as dropdown values.</t>
        </is>
      </c>
    </row>
    <row r="226">
      <c r="A226" s="14" t="inlineStr">
        <is>
          <t>cghsPreauthStatus</t>
        </is>
      </c>
      <c r="B226" s="14" t="n">
        <v>5</v>
      </c>
      <c r="C226" s="14" t="inlineStr">
        <is>
          <t>Rejected</t>
        </is>
      </c>
      <c r="D226" s="14" t="inlineStr">
        <is>
          <t>Used as dropdown values.</t>
        </is>
      </c>
    </row>
    <row r="227">
      <c r="A227" s="14" t="inlineStr">
        <is>
          <t>boneProtectionTherapy</t>
        </is>
      </c>
      <c r="B227" s="14" t="n">
        <v>1</v>
      </c>
      <c r="C227" s="14" t="inlineStr">
        <is>
          <t>Not started</t>
        </is>
      </c>
      <c r="D227" s="14" t="inlineStr">
        <is>
          <t>Used as dropdown values.</t>
        </is>
      </c>
    </row>
    <row r="228">
      <c r="A228" s="14" t="inlineStr">
        <is>
          <t>boneProtectionTherapy</t>
        </is>
      </c>
      <c r="B228" s="14" t="n">
        <v>2</v>
      </c>
      <c r="C228" s="14" t="inlineStr">
        <is>
          <t>Zoledronic acid 4 mg IV q3m</t>
        </is>
      </c>
      <c r="D228" s="14" t="inlineStr">
        <is>
          <t>Used as dropdown values.</t>
        </is>
      </c>
    </row>
    <row r="229">
      <c r="A229" s="14" t="inlineStr">
        <is>
          <t>boneProtectionTherapy</t>
        </is>
      </c>
      <c r="B229" s="14" t="n">
        <v>3</v>
      </c>
      <c r="C229" s="14" t="inlineStr">
        <is>
          <t>Denosumab 120 mg SC q4w</t>
        </is>
      </c>
      <c r="D229" s="14" t="inlineStr">
        <is>
          <t>Used as dropdown values.</t>
        </is>
      </c>
    </row>
    <row r="230">
      <c r="A230" s="14" t="inlineStr">
        <is>
          <t>boneProtectionTherapy</t>
        </is>
      </c>
      <c r="B230" s="14" t="n">
        <v>4</v>
      </c>
      <c r="C230" s="14" t="inlineStr">
        <is>
          <t>Denosumab 60 mg SC q6m (osteoporosis)</t>
        </is>
      </c>
      <c r="D230" s="14" t="inlineStr">
        <is>
          <t>Used as dropdown values.</t>
        </is>
      </c>
    </row>
    <row r="231">
      <c r="A231" s="14" t="inlineStr">
        <is>
          <t>boneProtectionTherapy</t>
        </is>
      </c>
      <c r="B231" s="14" t="n">
        <v>5</v>
      </c>
      <c r="C231" s="14" t="inlineStr">
        <is>
          <t>Not indicated</t>
        </is>
      </c>
      <c r="D231" s="14" t="inlineStr">
        <is>
          <t>Used as dropdown values.</t>
        </is>
      </c>
    </row>
    <row r="232">
      <c r="A232" s="14" t="inlineStr">
        <is>
          <t>calciumVitaminD</t>
        </is>
      </c>
      <c r="B232" s="14" t="n">
        <v>1</v>
      </c>
      <c r="C232" s="14" t="inlineStr">
        <is>
          <t>Not prescribed</t>
        </is>
      </c>
      <c r="D232" s="14" t="inlineStr">
        <is>
          <t>Used as dropdown values.</t>
        </is>
      </c>
    </row>
    <row r="233">
      <c r="A233" s="14" t="inlineStr">
        <is>
          <t>calciumVitaminD</t>
        </is>
      </c>
      <c r="B233" s="14" t="n">
        <v>2</v>
      </c>
      <c r="C233" s="14" t="inlineStr">
        <is>
          <t>Calcium 500 mg + Vit D3 1000 IU OD</t>
        </is>
      </c>
      <c r="D233" s="14" t="inlineStr">
        <is>
          <t>Used as dropdown values.</t>
        </is>
      </c>
    </row>
    <row r="234">
      <c r="A234" s="14" t="inlineStr">
        <is>
          <t>calciumVitaminD</t>
        </is>
      </c>
      <c r="B234" s="14" t="n">
        <v>3</v>
      </c>
      <c r="C234" s="14" t="inlineStr">
        <is>
          <t>Calcium 1000 mg + Vit D3 OD</t>
        </is>
      </c>
      <c r="D234" s="14" t="inlineStr">
        <is>
          <t>Used as dropdown values.</t>
        </is>
      </c>
    </row>
    <row r="235">
      <c r="A235" s="14" t="inlineStr">
        <is>
          <t>testosteroneMonitoring</t>
        </is>
      </c>
      <c r="B235" s="14" t="n">
        <v>1</v>
      </c>
      <c r="C235" s="14" t="inlineStr">
        <is>
          <t>Not checked this cycle</t>
        </is>
      </c>
      <c r="D235" s="14" t="inlineStr">
        <is>
          <t>Used as dropdown values.</t>
        </is>
      </c>
    </row>
    <row r="236">
      <c r="A236" s="14" t="inlineStr">
        <is>
          <t>testosteroneMonitoring</t>
        </is>
      </c>
      <c r="B236" s="14" t="n">
        <v>2</v>
      </c>
      <c r="C236" s="14" t="inlineStr">
        <is>
          <t>Castrate confirmed (&lt;50 ng/dL)</t>
        </is>
      </c>
      <c r="D236" s="14" t="inlineStr">
        <is>
          <t>Used as dropdown values.</t>
        </is>
      </c>
    </row>
    <row r="237">
      <c r="A237" s="14" t="inlineStr">
        <is>
          <t>testosteroneMonitoring</t>
        </is>
      </c>
      <c r="B237" s="14" t="n">
        <v>3</v>
      </c>
      <c r="C237" s="14" t="inlineStr">
        <is>
          <t>Non-castrate — action needed</t>
        </is>
      </c>
      <c r="D237" s="14" t="inlineStr">
        <is>
          <t>Used as dropdown values.</t>
        </is>
      </c>
    </row>
    <row r="238">
      <c r="A238" s="14" t="inlineStr">
        <is>
          <t>psychosocialScreening</t>
        </is>
      </c>
      <c r="B238" s="14" t="n">
        <v>1</v>
      </c>
      <c r="C238" s="14" t="inlineStr">
        <is>
          <t>Not done</t>
        </is>
      </c>
      <c r="D238" s="14" t="inlineStr">
        <is>
          <t>Used as dropdown values.</t>
        </is>
      </c>
    </row>
    <row r="239">
      <c r="A239" s="14" t="inlineStr">
        <is>
          <t>psychosocialScreening</t>
        </is>
      </c>
      <c r="B239" s="14" t="n">
        <v>2</v>
      </c>
      <c r="C239" s="14" t="inlineStr">
        <is>
          <t>Minimal (0–4)</t>
        </is>
      </c>
      <c r="D239" s="14" t="inlineStr">
        <is>
          <t>Used as dropdown values.</t>
        </is>
      </c>
    </row>
    <row r="240">
      <c r="A240" s="14" t="inlineStr">
        <is>
          <t>psychosocialScreening</t>
        </is>
      </c>
      <c r="B240" s="14" t="n">
        <v>3</v>
      </c>
      <c r="C240" s="14" t="inlineStr">
        <is>
          <t>Mild (5–9)</t>
        </is>
      </c>
      <c r="D240" s="14" t="inlineStr">
        <is>
          <t>Used as dropdown values.</t>
        </is>
      </c>
    </row>
    <row r="241">
      <c r="A241" s="14" t="inlineStr">
        <is>
          <t>psychosocialScreening</t>
        </is>
      </c>
      <c r="B241" s="14" t="n">
        <v>4</v>
      </c>
      <c r="C241" s="14" t="inlineStr">
        <is>
          <t>Moderate (10–14)</t>
        </is>
      </c>
      <c r="D241" s="14" t="inlineStr">
        <is>
          <t>Used as dropdown values.</t>
        </is>
      </c>
    </row>
    <row r="242">
      <c r="A242" s="14" t="inlineStr">
        <is>
          <t>psychosocialScreening</t>
        </is>
      </c>
      <c r="B242" s="14" t="n">
        <v>5</v>
      </c>
      <c r="C242" s="14" t="inlineStr">
        <is>
          <t>Severe (≥15) — refer</t>
        </is>
      </c>
      <c r="D242" s="14" t="inlineStr">
        <is>
          <t>Used as dropdown values.</t>
        </is>
      </c>
    </row>
    <row r="243">
      <c r="A243" s="14" t="inlineStr">
        <is>
          <t>nutritionalAssessment</t>
        </is>
      </c>
      <c r="B243" s="14" t="n">
        <v>1</v>
      </c>
      <c r="C243" s="14" t="inlineStr">
        <is>
          <t>Not done</t>
        </is>
      </c>
      <c r="D243" s="14" t="inlineStr">
        <is>
          <t>Used as dropdown values.</t>
        </is>
      </c>
    </row>
    <row r="244">
      <c r="A244" s="14" t="inlineStr">
        <is>
          <t>nutritionalAssessment</t>
        </is>
      </c>
      <c r="B244" s="14" t="n">
        <v>2</v>
      </c>
      <c r="C244" s="14" t="inlineStr">
        <is>
          <t>Normal</t>
        </is>
      </c>
      <c r="D244" s="14" t="inlineStr">
        <is>
          <t>Used as dropdown values.</t>
        </is>
      </c>
    </row>
    <row r="245">
      <c r="A245" s="14" t="inlineStr">
        <is>
          <t>nutritionalAssessment</t>
        </is>
      </c>
      <c r="B245" s="14" t="n">
        <v>3</v>
      </c>
      <c r="C245" s="14" t="inlineStr">
        <is>
          <t>At risk — dietitian referral made</t>
        </is>
      </c>
      <c r="D245" s="14" t="inlineStr">
        <is>
          <t>Used as dropdown values.</t>
        </is>
      </c>
    </row>
    <row r="246">
      <c r="A246" s="14" t="inlineStr">
        <is>
          <t>nutritionalAssessment</t>
        </is>
      </c>
      <c r="B246" s="14" t="n">
        <v>4</v>
      </c>
      <c r="C246" s="14" t="inlineStr">
        <is>
          <t>Malnourished</t>
        </is>
      </c>
      <c r="D246" s="14" t="inlineStr">
        <is>
          <t>Used as dropdown values.</t>
        </is>
      </c>
    </row>
    <row r="247">
      <c r="A247" s="14" t="inlineStr">
        <is>
          <t>bestResponse</t>
        </is>
      </c>
      <c r="B247" s="14" t="n">
        <v>1</v>
      </c>
      <c r="C247" s="14" t="inlineStr">
        <is>
          <t>Not yet assessable</t>
        </is>
      </c>
      <c r="D247" s="14" t="inlineStr">
        <is>
          <t>Used as dropdown values.</t>
        </is>
      </c>
    </row>
    <row r="248">
      <c r="A248" s="14" t="inlineStr">
        <is>
          <t>bestResponse</t>
        </is>
      </c>
      <c r="B248" s="14" t="n">
        <v>2</v>
      </c>
      <c r="C248" s="14" t="inlineStr">
        <is>
          <t>PSA response</t>
        </is>
      </c>
      <c r="D248" s="14" t="inlineStr">
        <is>
          <t>Used as dropdown values.</t>
        </is>
      </c>
    </row>
    <row r="249">
      <c r="A249" s="14" t="inlineStr">
        <is>
          <t>bestResponse</t>
        </is>
      </c>
      <c r="B249" s="14" t="n">
        <v>3</v>
      </c>
      <c r="C249" s="14" t="inlineStr">
        <is>
          <t>Stable disease</t>
        </is>
      </c>
      <c r="D249" s="14" t="inlineStr">
        <is>
          <t>Used as dropdown values.</t>
        </is>
      </c>
    </row>
    <row r="250">
      <c r="A250" s="14" t="inlineStr">
        <is>
          <t>bestResponse</t>
        </is>
      </c>
      <c r="B250" s="14" t="n">
        <v>4</v>
      </c>
      <c r="C250" s="14" t="inlineStr">
        <is>
          <t>Biochemical recurrence</t>
        </is>
      </c>
      <c r="D250" s="14" t="inlineStr">
        <is>
          <t>Used as dropdown values.</t>
        </is>
      </c>
    </row>
    <row r="251">
      <c r="A251" s="14" t="inlineStr">
        <is>
          <t>bestResponse</t>
        </is>
      </c>
      <c r="B251" s="14" t="n">
        <v>5</v>
      </c>
      <c r="C251" s="14" t="inlineStr">
        <is>
          <t>Radiological progression</t>
        </is>
      </c>
      <c r="D251" s="14" t="inlineStr">
        <is>
          <t>Used as dropdown values.</t>
        </is>
      </c>
    </row>
    <row r="252">
      <c r="A252" s="14" t="inlineStr">
        <is>
          <t>bestResponse</t>
        </is>
      </c>
      <c r="B252" s="14" t="n">
        <v>6</v>
      </c>
      <c r="C252" s="14" t="inlineStr">
        <is>
          <t>Clinical progression</t>
        </is>
      </c>
      <c r="D252" s="14" t="inlineStr">
        <is>
          <t>Used as dropdown values.</t>
        </is>
      </c>
    </row>
    <row r="253">
      <c r="A253" s="14" t="inlineStr">
        <is>
          <t>biochemicalRecurrenceStatus</t>
        </is>
      </c>
      <c r="B253" s="14" t="n">
        <v>1</v>
      </c>
      <c r="C253" s="14" t="inlineStr">
        <is>
          <t>Not assessed</t>
        </is>
      </c>
      <c r="D253" s="14" t="inlineStr">
        <is>
          <t>Used as dropdown values.</t>
        </is>
      </c>
    </row>
    <row r="254">
      <c r="A254" s="14" t="inlineStr">
        <is>
          <t>biochemicalRecurrenceStatus</t>
        </is>
      </c>
      <c r="B254" s="14" t="n">
        <v>2</v>
      </c>
      <c r="C254" s="14" t="inlineStr">
        <is>
          <t>No recurrence documented</t>
        </is>
      </c>
      <c r="D254" s="14" t="inlineStr">
        <is>
          <t>Used as dropdown values.</t>
        </is>
      </c>
    </row>
    <row r="255">
      <c r="A255" s="14" t="inlineStr">
        <is>
          <t>biochemicalRecurrenceStatus</t>
        </is>
      </c>
      <c r="B255" s="14" t="n">
        <v>3</v>
      </c>
      <c r="C255" s="14" t="inlineStr">
        <is>
          <t>Biochemical recurrence</t>
        </is>
      </c>
      <c r="D255" s="14" t="inlineStr">
        <is>
          <t>Used as dropdown values.</t>
        </is>
      </c>
    </row>
    <row r="256">
      <c r="A256" s="14" t="inlineStr">
        <is>
          <t>crpcProgressionStatus</t>
        </is>
      </c>
      <c r="B256" s="14" t="n">
        <v>1</v>
      </c>
      <c r="C256" s="14" t="inlineStr">
        <is>
          <t>No CRPC progression documented</t>
        </is>
      </c>
      <c r="D256" s="14" t="inlineStr">
        <is>
          <t>Used as dropdown values.</t>
        </is>
      </c>
    </row>
    <row r="257">
      <c r="A257" s="14" t="inlineStr">
        <is>
          <t>crpcProgressionStatus</t>
        </is>
      </c>
      <c r="B257" s="14" t="n">
        <v>2</v>
      </c>
      <c r="C257" s="14" t="inlineStr">
        <is>
          <t>Progressed to CRPC</t>
        </is>
      </c>
      <c r="D257" s="14" t="inlineStr">
        <is>
          <t>Used as dropdown values.</t>
        </is>
      </c>
    </row>
    <row r="258">
      <c r="A258" s="14" t="inlineStr">
        <is>
          <t>crpcProgressionStatus</t>
        </is>
      </c>
      <c r="B258" s="14" t="n">
        <v>3</v>
      </c>
      <c r="C258" s="14" t="inlineStr">
        <is>
          <t>Suspected progression - workup pending</t>
        </is>
      </c>
      <c r="D258" s="14" t="inlineStr">
        <is>
          <t>Used as dropdown values.</t>
        </is>
      </c>
    </row>
    <row r="259">
      <c r="A259" s="14" t="inlineStr">
        <is>
          <t>rtOutcomeStatus</t>
        </is>
      </c>
      <c r="B259" s="14" t="n">
        <v>1</v>
      </c>
      <c r="C259" s="14" t="inlineStr">
        <is>
          <t>Not yet assessed</t>
        </is>
      </c>
      <c r="D259" s="14" t="inlineStr">
        <is>
          <t>Used as dropdown values.</t>
        </is>
      </c>
    </row>
    <row r="260">
      <c r="A260" s="14" t="inlineStr">
        <is>
          <t>rtOutcomeStatus</t>
        </is>
      </c>
      <c r="B260" s="14" t="n">
        <v>2</v>
      </c>
      <c r="C260" s="14" t="inlineStr">
        <is>
          <t>Complete biochemical response</t>
        </is>
      </c>
      <c r="D260" s="14" t="inlineStr">
        <is>
          <t>Used as dropdown values.</t>
        </is>
      </c>
    </row>
    <row r="261">
      <c r="A261" s="14" t="inlineStr">
        <is>
          <t>rtOutcomeStatus</t>
        </is>
      </c>
      <c r="B261" s="14" t="n">
        <v>3</v>
      </c>
      <c r="C261" s="14" t="inlineStr">
        <is>
          <t>Partial biochemical response</t>
        </is>
      </c>
      <c r="D261" s="14" t="inlineStr">
        <is>
          <t>Used as dropdown values.</t>
        </is>
      </c>
    </row>
    <row r="262">
      <c r="A262" s="14" t="inlineStr">
        <is>
          <t>rtOutcomeStatus</t>
        </is>
      </c>
      <c r="B262" s="14" t="n">
        <v>4</v>
      </c>
      <c r="C262" s="14" t="inlineStr">
        <is>
          <t>Stable disease</t>
        </is>
      </c>
      <c r="D262" s="14" t="inlineStr">
        <is>
          <t>Used as dropdown values.</t>
        </is>
      </c>
    </row>
    <row r="263">
      <c r="A263" s="14" t="inlineStr">
        <is>
          <t>rtOutcomeStatus</t>
        </is>
      </c>
      <c r="B263" s="14" t="n">
        <v>5</v>
      </c>
      <c r="C263" s="14" t="inlineStr">
        <is>
          <t>Biochemical recurrence</t>
        </is>
      </c>
      <c r="D263" s="14" t="inlineStr">
        <is>
          <t>Used as dropdown values.</t>
        </is>
      </c>
    </row>
    <row r="264">
      <c r="A264" s="14" t="inlineStr">
        <is>
          <t>rtOutcomeStatus</t>
        </is>
      </c>
      <c r="B264" s="14" t="n">
        <v>6</v>
      </c>
      <c r="C264" s="14" t="inlineStr">
        <is>
          <t>Progressive disease</t>
        </is>
      </c>
      <c r="D264" s="14" t="inlineStr">
        <is>
          <t>Used as dropdown values.</t>
        </is>
      </c>
    </row>
    <row r="265">
      <c r="A265" s="14" t="inlineStr">
        <is>
          <t>eventType</t>
        </is>
      </c>
      <c r="B265" s="14" t="n">
        <v>1</v>
      </c>
      <c r="C265" s="14" t="inlineStr">
        <is>
          <t>Outpatient Visit</t>
        </is>
      </c>
      <c r="D265" s="14" t="inlineStr">
        <is>
          <t>Used as dropdown values.</t>
        </is>
      </c>
    </row>
    <row r="266">
      <c r="A266" s="14" t="inlineStr">
        <is>
          <t>eventType</t>
        </is>
      </c>
      <c r="B266" s="14" t="n">
        <v>2</v>
      </c>
      <c r="C266" s="14" t="inlineStr">
        <is>
          <t>Lab / PSA</t>
        </is>
      </c>
      <c r="D266" s="14" t="inlineStr">
        <is>
          <t>Used as dropdown values.</t>
        </is>
      </c>
    </row>
    <row r="267">
      <c r="A267" s="14" t="inlineStr">
        <is>
          <t>eventType</t>
        </is>
      </c>
      <c r="B267" s="14" t="n">
        <v>3</v>
      </c>
      <c r="C267" s="14" t="inlineStr">
        <is>
          <t>Imaging</t>
        </is>
      </c>
      <c r="D267" s="14" t="inlineStr">
        <is>
          <t>Used as dropdown values.</t>
        </is>
      </c>
    </row>
    <row r="268">
      <c r="A268" s="14" t="inlineStr">
        <is>
          <t>eventType</t>
        </is>
      </c>
      <c r="B268" s="14" t="n">
        <v>4</v>
      </c>
      <c r="C268" s="14" t="inlineStr">
        <is>
          <t>Biopsy / Procedure</t>
        </is>
      </c>
      <c r="D268" s="14" t="inlineStr">
        <is>
          <t>Used as dropdown values.</t>
        </is>
      </c>
    </row>
    <row r="269">
      <c r="A269" s="14" t="inlineStr">
        <is>
          <t>eventType</t>
        </is>
      </c>
      <c r="B269" s="14" t="n">
        <v>5</v>
      </c>
      <c r="C269" s="14" t="inlineStr">
        <is>
          <t>Treatment Initiation</t>
        </is>
      </c>
      <c r="D269" s="14" t="inlineStr">
        <is>
          <t>Used as dropdown values.</t>
        </is>
      </c>
    </row>
    <row r="270">
      <c r="A270" s="14" t="inlineStr">
        <is>
          <t>eventType</t>
        </is>
      </c>
      <c r="B270" s="14" t="n">
        <v>6</v>
      </c>
      <c r="C270" s="14" t="inlineStr">
        <is>
          <t>Treatment Change</t>
        </is>
      </c>
      <c r="D270" s="14" t="inlineStr">
        <is>
          <t>Used as dropdown values.</t>
        </is>
      </c>
    </row>
    <row r="271">
      <c r="A271" s="14" t="inlineStr">
        <is>
          <t>eventType</t>
        </is>
      </c>
      <c r="B271" s="14" t="n">
        <v>7</v>
      </c>
      <c r="C271" s="14" t="inlineStr">
        <is>
          <t>Hospital Admission</t>
        </is>
      </c>
      <c r="D271" s="14" t="inlineStr">
        <is>
          <t>Used as dropdown values.</t>
        </is>
      </c>
    </row>
    <row r="272">
      <c r="A272" s="14" t="inlineStr">
        <is>
          <t>eventType</t>
        </is>
      </c>
      <c r="B272" s="14" t="n">
        <v>8</v>
      </c>
      <c r="C272" s="14" t="inlineStr">
        <is>
          <t>MDT Review</t>
        </is>
      </c>
      <c r="D272" s="14" t="inlineStr">
        <is>
          <t>Used as dropdown values.</t>
        </is>
      </c>
    </row>
    <row r="273">
      <c r="A273" s="14" t="inlineStr">
        <is>
          <t>eventType</t>
        </is>
      </c>
      <c r="B273" s="14" t="n">
        <v>9</v>
      </c>
      <c r="C273" s="14" t="inlineStr">
        <is>
          <t>Adverse Event</t>
        </is>
      </c>
      <c r="D273" s="14" t="inlineStr">
        <is>
          <t>Used as dropdown values.</t>
        </is>
      </c>
    </row>
    <row r="274">
      <c r="A274" s="14" t="inlineStr">
        <is>
          <t>eventType</t>
        </is>
      </c>
      <c r="B274" s="14" t="n">
        <v>10</v>
      </c>
      <c r="C274" s="14" t="inlineStr">
        <is>
          <t>Palliative Referral</t>
        </is>
      </c>
      <c r="D274" s="14" t="inlineStr">
        <is>
          <t>Used as dropdown values.</t>
        </is>
      </c>
    </row>
    <row r="275">
      <c r="A275" s="20" t="inlineStr">
        <is>
          <t>religion</t>
        </is>
      </c>
      <c r="B275" s="20" t="n">
        <v>1</v>
      </c>
      <c r="C275" s="20" t="inlineStr">
        <is>
          <t>Hindu</t>
        </is>
      </c>
      <c r="D275" s="20" t="inlineStr">
        <is>
          <t>PROPOSED (v3) — pending clinical sign-off</t>
        </is>
      </c>
    </row>
    <row r="276">
      <c r="A276" s="20" t="inlineStr">
        <is>
          <t>religion</t>
        </is>
      </c>
      <c r="B276" s="20" t="n">
        <v>2</v>
      </c>
      <c r="C276" s="20" t="inlineStr">
        <is>
          <t>Muslim</t>
        </is>
      </c>
      <c r="D276" s="20" t="inlineStr">
        <is>
          <t>PROPOSED (v3) — pending clinical sign-off</t>
        </is>
      </c>
    </row>
    <row r="277">
      <c r="A277" s="20" t="inlineStr">
        <is>
          <t>religion</t>
        </is>
      </c>
      <c r="B277" s="20" t="n">
        <v>3</v>
      </c>
      <c r="C277" s="20" t="inlineStr">
        <is>
          <t>Christian</t>
        </is>
      </c>
      <c r="D277" s="20" t="inlineStr">
        <is>
          <t>PROPOSED (v3) — pending clinical sign-off</t>
        </is>
      </c>
    </row>
    <row r="278">
      <c r="A278" s="20" t="inlineStr">
        <is>
          <t>religion</t>
        </is>
      </c>
      <c r="B278" s="20" t="n">
        <v>4</v>
      </c>
      <c r="C278" s="20" t="inlineStr">
        <is>
          <t>Sikh</t>
        </is>
      </c>
      <c r="D278" s="20" t="inlineStr">
        <is>
          <t>PROPOSED (v3) — pending clinical sign-off</t>
        </is>
      </c>
    </row>
    <row r="279">
      <c r="A279" s="20" t="inlineStr">
        <is>
          <t>religion</t>
        </is>
      </c>
      <c r="B279" s="20" t="n">
        <v>5</v>
      </c>
      <c r="C279" s="20" t="inlineStr">
        <is>
          <t>Buddhist</t>
        </is>
      </c>
      <c r="D279" s="20" t="inlineStr">
        <is>
          <t>PROPOSED (v3) — pending clinical sign-off</t>
        </is>
      </c>
    </row>
    <row r="280">
      <c r="A280" s="20" t="inlineStr">
        <is>
          <t>religion</t>
        </is>
      </c>
      <c r="B280" s="20" t="n">
        <v>6</v>
      </c>
      <c r="C280" s="20" t="inlineStr">
        <is>
          <t>Jain</t>
        </is>
      </c>
      <c r="D280" s="20" t="inlineStr">
        <is>
          <t>PROPOSED (v3) — pending clinical sign-off</t>
        </is>
      </c>
    </row>
    <row r="281">
      <c r="A281" s="20" t="inlineStr">
        <is>
          <t>religion</t>
        </is>
      </c>
      <c r="B281" s="20" t="n">
        <v>7</v>
      </c>
      <c r="C281" s="20" t="inlineStr">
        <is>
          <t>Other</t>
        </is>
      </c>
      <c r="D281" s="20" t="inlineStr">
        <is>
          <t>PROPOSED (v3) — pending clinical sign-off</t>
        </is>
      </c>
    </row>
    <row r="282">
      <c r="A282" s="20" t="inlineStr">
        <is>
          <t>religion</t>
        </is>
      </c>
      <c r="B282" s="20" t="n">
        <v>8</v>
      </c>
      <c r="C282" s="20" t="inlineStr">
        <is>
          <t>Prefer not to say</t>
        </is>
      </c>
      <c r="D282" s="20" t="inlineStr">
        <is>
          <t>PROPOSED (v3) — pending clinical sign-off</t>
        </is>
      </c>
    </row>
    <row r="283">
      <c r="A283" s="20" t="inlineStr">
        <is>
          <t>maritalStatus</t>
        </is>
      </c>
      <c r="B283" s="20" t="n">
        <v>1</v>
      </c>
      <c r="C283" s="20" t="inlineStr">
        <is>
          <t>Married</t>
        </is>
      </c>
      <c r="D283" s="20" t="inlineStr">
        <is>
          <t>PROPOSED (v3) — pending clinical sign-off</t>
        </is>
      </c>
    </row>
    <row r="284">
      <c r="A284" s="20" t="inlineStr">
        <is>
          <t>maritalStatus</t>
        </is>
      </c>
      <c r="B284" s="20" t="n">
        <v>2</v>
      </c>
      <c r="C284" s="20" t="inlineStr">
        <is>
          <t>Unmarried</t>
        </is>
      </c>
      <c r="D284" s="20" t="inlineStr">
        <is>
          <t>PROPOSED (v3) — pending clinical sign-off</t>
        </is>
      </c>
    </row>
    <row r="285">
      <c r="A285" s="20" t="inlineStr">
        <is>
          <t>maritalStatus</t>
        </is>
      </c>
      <c r="B285" s="20" t="n">
        <v>3</v>
      </c>
      <c r="C285" s="20" t="inlineStr">
        <is>
          <t>Widowed</t>
        </is>
      </c>
      <c r="D285" s="20" t="inlineStr">
        <is>
          <t>PROPOSED (v3) — pending clinical sign-off</t>
        </is>
      </c>
    </row>
    <row r="286">
      <c r="A286" s="20" t="inlineStr">
        <is>
          <t>maritalStatus</t>
        </is>
      </c>
      <c r="B286" s="20" t="n">
        <v>4</v>
      </c>
      <c r="C286" s="20" t="inlineStr">
        <is>
          <t>Divorced / Separated</t>
        </is>
      </c>
      <c r="D286" s="20" t="inlineStr">
        <is>
          <t>PROPOSED (v3) — pending clinical sign-off</t>
        </is>
      </c>
    </row>
    <row r="287">
      <c r="A287" s="20" t="inlineStr">
        <is>
          <t>educationLevel</t>
        </is>
      </c>
      <c r="B287" s="20" t="n">
        <v>1</v>
      </c>
      <c r="C287" s="20" t="inlineStr">
        <is>
          <t>No formal education</t>
        </is>
      </c>
      <c r="D287" s="20" t="inlineStr">
        <is>
          <t>PROPOSED (v3) — pending clinical sign-off</t>
        </is>
      </c>
    </row>
    <row r="288">
      <c r="A288" s="20" t="inlineStr">
        <is>
          <t>educationLevel</t>
        </is>
      </c>
      <c r="B288" s="20" t="n">
        <v>2</v>
      </c>
      <c r="C288" s="20" t="inlineStr">
        <is>
          <t>Primary</t>
        </is>
      </c>
      <c r="D288" s="20" t="inlineStr">
        <is>
          <t>PROPOSED (v3) — pending clinical sign-off</t>
        </is>
      </c>
    </row>
    <row r="289">
      <c r="A289" s="20" t="inlineStr">
        <is>
          <t>educationLevel</t>
        </is>
      </c>
      <c r="B289" s="20" t="n">
        <v>3</v>
      </c>
      <c r="C289" s="20" t="inlineStr">
        <is>
          <t>Secondary</t>
        </is>
      </c>
      <c r="D289" s="20" t="inlineStr">
        <is>
          <t>PROPOSED (v3) — pending clinical sign-off</t>
        </is>
      </c>
    </row>
    <row r="290">
      <c r="A290" s="20" t="inlineStr">
        <is>
          <t>educationLevel</t>
        </is>
      </c>
      <c r="B290" s="20" t="n">
        <v>4</v>
      </c>
      <c r="C290" s="20" t="inlineStr">
        <is>
          <t>Higher secondary</t>
        </is>
      </c>
      <c r="D290" s="20" t="inlineStr">
        <is>
          <t>PROPOSED (v3) — pending clinical sign-off</t>
        </is>
      </c>
    </row>
    <row r="291">
      <c r="A291" s="20" t="inlineStr">
        <is>
          <t>educationLevel</t>
        </is>
      </c>
      <c r="B291" s="20" t="n">
        <v>5</v>
      </c>
      <c r="C291" s="20" t="inlineStr">
        <is>
          <t>Graduate</t>
        </is>
      </c>
      <c r="D291" s="20" t="inlineStr">
        <is>
          <t>PROPOSED (v3) — pending clinical sign-off</t>
        </is>
      </c>
    </row>
    <row r="292">
      <c r="A292" s="20" t="inlineStr">
        <is>
          <t>educationLevel</t>
        </is>
      </c>
      <c r="B292" s="20" t="n">
        <v>6</v>
      </c>
      <c r="C292" s="20" t="inlineStr">
        <is>
          <t>Post-graduate</t>
        </is>
      </c>
      <c r="D292" s="20" t="inlineStr">
        <is>
          <t>PROPOSED (v3) — pending clinical sign-off</t>
        </is>
      </c>
    </row>
    <row r="293">
      <c r="A293" s="20" t="inlineStr">
        <is>
          <t>occupation</t>
        </is>
      </c>
      <c r="B293" s="20" t="n">
        <v>1</v>
      </c>
      <c r="C293" s="20" t="inlineStr">
        <is>
          <t>Agriculture</t>
        </is>
      </c>
      <c r="D293" s="20" t="inlineStr">
        <is>
          <t>PROPOSED (v3) — pending clinical sign-off</t>
        </is>
      </c>
    </row>
    <row r="294">
      <c r="A294" s="20" t="inlineStr">
        <is>
          <t>occupation</t>
        </is>
      </c>
      <c r="B294" s="20" t="n">
        <v>2</v>
      </c>
      <c r="C294" s="20" t="inlineStr">
        <is>
          <t>Labour</t>
        </is>
      </c>
      <c r="D294" s="20" t="inlineStr">
        <is>
          <t>PROPOSED (v3) — pending clinical sign-off</t>
        </is>
      </c>
    </row>
    <row r="295">
      <c r="A295" s="20" t="inlineStr">
        <is>
          <t>occupation</t>
        </is>
      </c>
      <c r="B295" s="20" t="n">
        <v>3</v>
      </c>
      <c r="C295" s="20" t="inlineStr">
        <is>
          <t>Service / Salaried</t>
        </is>
      </c>
      <c r="D295" s="20" t="inlineStr">
        <is>
          <t>PROPOSED (v3) — pending clinical sign-off</t>
        </is>
      </c>
    </row>
    <row r="296">
      <c r="A296" s="20" t="inlineStr">
        <is>
          <t>occupation</t>
        </is>
      </c>
      <c r="B296" s="20" t="n">
        <v>4</v>
      </c>
      <c r="C296" s="20" t="inlineStr">
        <is>
          <t>Business / Self-employed</t>
        </is>
      </c>
      <c r="D296" s="20" t="inlineStr">
        <is>
          <t>PROPOSED (v3) — pending clinical sign-off</t>
        </is>
      </c>
    </row>
    <row r="297">
      <c r="A297" s="20" t="inlineStr">
        <is>
          <t>occupation</t>
        </is>
      </c>
      <c r="B297" s="20" t="n">
        <v>5</v>
      </c>
      <c r="C297" s="20" t="inlineStr">
        <is>
          <t>Retired</t>
        </is>
      </c>
      <c r="D297" s="20" t="inlineStr">
        <is>
          <t>PROPOSED (v3) — pending clinical sign-off</t>
        </is>
      </c>
    </row>
    <row r="298">
      <c r="A298" s="20" t="inlineStr">
        <is>
          <t>occupation</t>
        </is>
      </c>
      <c r="B298" s="20" t="n">
        <v>6</v>
      </c>
      <c r="C298" s="20" t="inlineStr">
        <is>
          <t>Unemployed</t>
        </is>
      </c>
      <c r="D298" s="20" t="inlineStr">
        <is>
          <t>PROPOSED (v3) — pending clinical sign-off</t>
        </is>
      </c>
    </row>
    <row r="299">
      <c r="A299" s="20" t="inlineStr">
        <is>
          <t>occupation</t>
        </is>
      </c>
      <c r="B299" s="20" t="n">
        <v>7</v>
      </c>
      <c r="C299" s="20" t="inlineStr">
        <is>
          <t>Other</t>
        </is>
      </c>
      <c r="D299" s="20" t="inlineStr">
        <is>
          <t>PROPOSED (v3) — pending clinical sign-off</t>
        </is>
      </c>
    </row>
    <row r="300">
      <c r="A300" s="20" t="inlineStr">
        <is>
          <t>tobaccoUse</t>
        </is>
      </c>
      <c r="B300" s="20" t="n">
        <v>1</v>
      </c>
      <c r="C300" s="20" t="inlineStr">
        <is>
          <t>Never</t>
        </is>
      </c>
      <c r="D300" s="20" t="inlineStr">
        <is>
          <t>PROPOSED (v3) — pending clinical sign-off</t>
        </is>
      </c>
    </row>
    <row r="301">
      <c r="A301" s="20" t="inlineStr">
        <is>
          <t>tobaccoUse</t>
        </is>
      </c>
      <c r="B301" s="20" t="n">
        <v>2</v>
      </c>
      <c r="C301" s="20" t="inlineStr">
        <is>
          <t>Former</t>
        </is>
      </c>
      <c r="D301" s="20" t="inlineStr">
        <is>
          <t>PROPOSED (v3) — pending clinical sign-off</t>
        </is>
      </c>
    </row>
    <row r="302">
      <c r="A302" s="20" t="inlineStr">
        <is>
          <t>tobaccoUse</t>
        </is>
      </c>
      <c r="B302" s="20" t="n">
        <v>3</v>
      </c>
      <c r="C302" s="20" t="inlineStr">
        <is>
          <t>Current</t>
        </is>
      </c>
      <c r="D302" s="20" t="inlineStr">
        <is>
          <t>PROPOSED (v3) — pending clinical sign-off</t>
        </is>
      </c>
    </row>
    <row r="303">
      <c r="A303" s="20" t="inlineStr">
        <is>
          <t>imagingResponse</t>
        </is>
      </c>
      <c r="B303" s="20" t="n">
        <v>1</v>
      </c>
      <c r="C303" s="20" t="inlineStr">
        <is>
          <t>Not assessed</t>
        </is>
      </c>
      <c r="D303" s="20" t="inlineStr">
        <is>
          <t>PROPOSED (v3) — pending clinical sign-off</t>
        </is>
      </c>
    </row>
    <row r="304">
      <c r="A304" s="20" t="inlineStr">
        <is>
          <t>imagingResponse</t>
        </is>
      </c>
      <c r="B304" s="20" t="n">
        <v>2</v>
      </c>
      <c r="C304" s="20" t="inlineStr">
        <is>
          <t>Complete response</t>
        </is>
      </c>
      <c r="D304" s="20" t="inlineStr">
        <is>
          <t>PROPOSED (v3) — pending clinical sign-off</t>
        </is>
      </c>
    </row>
    <row r="305">
      <c r="A305" s="20" t="inlineStr">
        <is>
          <t>imagingResponse</t>
        </is>
      </c>
      <c r="B305" s="20" t="n">
        <v>3</v>
      </c>
      <c r="C305" s="20" t="inlineStr">
        <is>
          <t>Partial response</t>
        </is>
      </c>
      <c r="D305" s="20" t="inlineStr">
        <is>
          <t>PROPOSED (v3) — pending clinical sign-off</t>
        </is>
      </c>
    </row>
    <row r="306">
      <c r="A306" s="20" t="inlineStr">
        <is>
          <t>imagingResponse</t>
        </is>
      </c>
      <c r="B306" s="20" t="n">
        <v>4</v>
      </c>
      <c r="C306" s="20" t="inlineStr">
        <is>
          <t>Stable disease</t>
        </is>
      </c>
      <c r="D306" s="20" t="inlineStr">
        <is>
          <t>PROPOSED (v3) — pending clinical sign-off</t>
        </is>
      </c>
    </row>
    <row r="307">
      <c r="A307" s="20" t="inlineStr">
        <is>
          <t>imagingResponse</t>
        </is>
      </c>
      <c r="B307" s="20" t="n">
        <v>5</v>
      </c>
      <c r="C307" s="20" t="inlineStr">
        <is>
          <t>Progressive disease</t>
        </is>
      </c>
      <c r="D307" s="20" t="inlineStr">
        <is>
          <t>PROPOSED (v3) — pending clinical sign-off</t>
        </is>
      </c>
    </row>
    <row r="308">
      <c r="A308" s="20" t="inlineStr">
        <is>
          <t>surgeryType</t>
        </is>
      </c>
      <c r="B308" s="20" t="n">
        <v>1</v>
      </c>
      <c r="C308" s="20" t="inlineStr">
        <is>
          <t>None</t>
        </is>
      </c>
      <c r="D308" s="20" t="inlineStr">
        <is>
          <t>PROPOSED (v3) — pending clinical sign-off</t>
        </is>
      </c>
    </row>
    <row r="309">
      <c r="A309" s="20" t="inlineStr">
        <is>
          <t>surgeryType</t>
        </is>
      </c>
      <c r="B309" s="20" t="n">
        <v>2</v>
      </c>
      <c r="C309" s="20" t="inlineStr">
        <is>
          <t>Radical prostatectomy — open</t>
        </is>
      </c>
      <c r="D309" s="20" t="inlineStr">
        <is>
          <t>PROPOSED (v3) — pending clinical sign-off</t>
        </is>
      </c>
    </row>
    <row r="310">
      <c r="A310" s="20" t="inlineStr">
        <is>
          <t>surgeryType</t>
        </is>
      </c>
      <c r="B310" s="20" t="n">
        <v>3</v>
      </c>
      <c r="C310" s="20" t="inlineStr">
        <is>
          <t>Radical prostatectomy — laparoscopic</t>
        </is>
      </c>
      <c r="D310" s="20" t="inlineStr">
        <is>
          <t>PROPOSED (v3) — pending clinical sign-off</t>
        </is>
      </c>
    </row>
    <row r="311">
      <c r="A311" s="20" t="inlineStr">
        <is>
          <t>surgeryType</t>
        </is>
      </c>
      <c r="B311" s="20" t="n">
        <v>4</v>
      </c>
      <c r="C311" s="20" t="inlineStr">
        <is>
          <t>Radical prostatectomy — robotic</t>
        </is>
      </c>
      <c r="D311" s="20" t="inlineStr">
        <is>
          <t>PROPOSED (v3) — pending clinical sign-off</t>
        </is>
      </c>
    </row>
    <row r="312">
      <c r="A312" s="20" t="inlineStr">
        <is>
          <t>surgeryType</t>
        </is>
      </c>
      <c r="B312" s="20" t="n">
        <v>5</v>
      </c>
      <c r="C312" s="20" t="inlineStr">
        <is>
          <t>Bilateral orchidectomy</t>
        </is>
      </c>
      <c r="D312" s="20" t="inlineStr">
        <is>
          <t>PROPOSED (v3) — pending clinical sign-off</t>
        </is>
      </c>
    </row>
    <row r="313">
      <c r="A313" s="20" t="inlineStr">
        <is>
          <t>surgeryType</t>
        </is>
      </c>
      <c r="B313" s="20" t="n">
        <v>6</v>
      </c>
      <c r="C313" s="20" t="inlineStr">
        <is>
          <t>TURP (channel)</t>
        </is>
      </c>
      <c r="D313" s="20" t="inlineStr">
        <is>
          <t>PROPOSED (v3) — pending clinical sign-off</t>
        </is>
      </c>
    </row>
    <row r="314">
      <c r="A314" s="20" t="inlineStr">
        <is>
          <t>radioligandTherapy</t>
        </is>
      </c>
      <c r="B314" s="20" t="n">
        <v>1</v>
      </c>
      <c r="C314" s="20" t="inlineStr">
        <is>
          <t>Not indicated</t>
        </is>
      </c>
      <c r="D314" s="20" t="inlineStr">
        <is>
          <t>PROPOSED (v3) — pending clinical sign-off</t>
        </is>
      </c>
    </row>
    <row r="315">
      <c r="A315" s="20" t="inlineStr">
        <is>
          <t>radioligandTherapy</t>
        </is>
      </c>
      <c r="B315" s="20" t="n">
        <v>2</v>
      </c>
      <c r="C315" s="20" t="inlineStr">
        <is>
          <t>Lu-177 PSMA (Pluvicto)</t>
        </is>
      </c>
      <c r="D315" s="20" t="inlineStr">
        <is>
          <t>PROPOSED (v3) — pending clinical sign-off</t>
        </is>
      </c>
    </row>
    <row r="316">
      <c r="A316" s="20" t="inlineStr">
        <is>
          <t>radioligandTherapy</t>
        </is>
      </c>
      <c r="B316" s="20" t="n">
        <v>3</v>
      </c>
      <c r="C316" s="20" t="inlineStr">
        <is>
          <t>Radium-223 (Xofigo)</t>
        </is>
      </c>
      <c r="D316" s="20" t="inlineStr">
        <is>
          <t>PROPOSED (v3) — pending clinical sign-off</t>
        </is>
      </c>
    </row>
    <row r="317">
      <c r="A317" s="20" t="inlineStr">
        <is>
          <t>vitalStatus</t>
        </is>
      </c>
      <c r="B317" s="20" t="n">
        <v>1</v>
      </c>
      <c r="C317" s="20" t="inlineStr">
        <is>
          <t>Alive</t>
        </is>
      </c>
      <c r="D317" s="20" t="inlineStr">
        <is>
          <t>PROPOSED (v3) — pending clinical sign-off</t>
        </is>
      </c>
    </row>
    <row r="318">
      <c r="A318" s="20" t="inlineStr">
        <is>
          <t>vitalStatus</t>
        </is>
      </c>
      <c r="B318" s="20" t="n">
        <v>2</v>
      </c>
      <c r="C318" s="20" t="inlineStr">
        <is>
          <t>Died</t>
        </is>
      </c>
      <c r="D318" s="20" t="inlineStr">
        <is>
          <t>PROPOSED (v3) — pending clinical sign-off</t>
        </is>
      </c>
    </row>
    <row r="319">
      <c r="A319" s="20" t="inlineStr">
        <is>
          <t>vitalStatus</t>
        </is>
      </c>
      <c r="B319" s="20" t="n">
        <v>3</v>
      </c>
      <c r="C319" s="20" t="inlineStr">
        <is>
          <t>Lost to follow-up</t>
        </is>
      </c>
      <c r="D319" s="20" t="inlineStr">
        <is>
          <t>PROPOSED (v3) — pending clinical sign-off</t>
        </is>
      </c>
    </row>
    <row r="320">
      <c r="A320" s="20" t="inlineStr">
        <is>
          <t>causeOfDeath</t>
        </is>
      </c>
      <c r="B320" s="20" t="n">
        <v>1</v>
      </c>
      <c r="C320" s="20" t="inlineStr">
        <is>
          <t>Prostate cancer</t>
        </is>
      </c>
      <c r="D320" s="20" t="inlineStr">
        <is>
          <t>PROPOSED (v3) — pending clinical sign-off</t>
        </is>
      </c>
    </row>
    <row r="321">
      <c r="A321" s="20" t="inlineStr">
        <is>
          <t>causeOfDeath</t>
        </is>
      </c>
      <c r="B321" s="20" t="n">
        <v>2</v>
      </c>
      <c r="C321" s="20" t="inlineStr">
        <is>
          <t>Other cancer</t>
        </is>
      </c>
      <c r="D321" s="20" t="inlineStr">
        <is>
          <t>PROPOSED (v3) — pending clinical sign-off</t>
        </is>
      </c>
    </row>
    <row r="322">
      <c r="A322" s="20" t="inlineStr">
        <is>
          <t>causeOfDeath</t>
        </is>
      </c>
      <c r="B322" s="20" t="n">
        <v>3</v>
      </c>
      <c r="C322" s="20" t="inlineStr">
        <is>
          <t>Cardiovascular</t>
        </is>
      </c>
      <c r="D322" s="20" t="inlineStr">
        <is>
          <t>PROPOSED (v3) — pending clinical sign-off</t>
        </is>
      </c>
    </row>
    <row r="323">
      <c r="A323" s="20" t="inlineStr">
        <is>
          <t>causeOfDeath</t>
        </is>
      </c>
      <c r="B323" s="20" t="n">
        <v>4</v>
      </c>
      <c r="C323" s="20" t="inlineStr">
        <is>
          <t>Infection</t>
        </is>
      </c>
      <c r="D323" s="20" t="inlineStr">
        <is>
          <t>PROPOSED (v3) — pending clinical sign-off</t>
        </is>
      </c>
    </row>
    <row r="324">
      <c r="A324" s="20" t="inlineStr">
        <is>
          <t>causeOfDeath</t>
        </is>
      </c>
      <c r="B324" s="20" t="n">
        <v>5</v>
      </c>
      <c r="C324" s="20" t="inlineStr">
        <is>
          <t>Other</t>
        </is>
      </c>
      <c r="D324" s="20" t="inlineStr">
        <is>
          <t>PROPOSED (v3) — pending clinical sign-off</t>
        </is>
      </c>
    </row>
    <row r="325">
      <c r="A325" s="20" t="inlineStr">
        <is>
          <t>causeOfDeath</t>
        </is>
      </c>
      <c r="B325" s="20" t="n">
        <v>6</v>
      </c>
      <c r="C325" s="20" t="inlineStr">
        <is>
          <t>Unknown</t>
        </is>
      </c>
      <c r="D325" s="20" t="inlineStr">
        <is>
          <t>PROPOSED (v3) — pending clinical sign-off</t>
        </is>
      </c>
    </row>
    <row r="326">
      <c r="A326" s="20" t="inlineStr">
        <is>
          <t>labTestName</t>
        </is>
      </c>
      <c r="B326" s="20" t="n">
        <v>1</v>
      </c>
      <c r="C326" s="20" t="inlineStr">
        <is>
          <t>PSA</t>
        </is>
      </c>
      <c r="D326" s="20" t="inlineStr">
        <is>
          <t>PROPOSED (v3) — pending clinical sign-off</t>
        </is>
      </c>
    </row>
    <row r="327">
      <c r="A327" s="20" t="inlineStr">
        <is>
          <t>labTestName</t>
        </is>
      </c>
      <c r="B327" s="20" t="n">
        <v>2</v>
      </c>
      <c r="C327" s="20" t="inlineStr">
        <is>
          <t>Testosterone</t>
        </is>
      </c>
      <c r="D327" s="20" t="inlineStr">
        <is>
          <t>PROPOSED (v3) — pending clinical sign-off</t>
        </is>
      </c>
    </row>
    <row r="328">
      <c r="A328" s="20" t="inlineStr">
        <is>
          <t>labTestName</t>
        </is>
      </c>
      <c r="B328" s="20" t="n">
        <v>3</v>
      </c>
      <c r="C328" s="20" t="inlineStr">
        <is>
          <t>Haemoglobin (CBC)</t>
        </is>
      </c>
      <c r="D328" s="20" t="inlineStr">
        <is>
          <t>PROPOSED (v3) — pending clinical sign-off</t>
        </is>
      </c>
    </row>
    <row r="329">
      <c r="A329" s="20" t="inlineStr">
        <is>
          <t>labTestName</t>
        </is>
      </c>
      <c r="B329" s="20" t="n">
        <v>4</v>
      </c>
      <c r="C329" s="20" t="inlineStr">
        <is>
          <t>WBC (CBC)</t>
        </is>
      </c>
      <c r="D329" s="20" t="inlineStr">
        <is>
          <t>PROPOSED (v3) — pending clinical sign-off</t>
        </is>
      </c>
    </row>
    <row r="330">
      <c r="A330" s="20" t="inlineStr">
        <is>
          <t>labTestName</t>
        </is>
      </c>
      <c r="B330" s="20" t="n">
        <v>5</v>
      </c>
      <c r="C330" s="20" t="inlineStr">
        <is>
          <t>Platelets (CBC)</t>
        </is>
      </c>
      <c r="D330" s="20" t="inlineStr">
        <is>
          <t>PROPOSED (v3) — pending clinical sign-off</t>
        </is>
      </c>
    </row>
    <row r="331">
      <c r="A331" s="20" t="inlineStr">
        <is>
          <t>labTestName</t>
        </is>
      </c>
      <c r="B331" s="20" t="n">
        <v>6</v>
      </c>
      <c r="C331" s="20" t="inlineStr">
        <is>
          <t>Creatinine (RFT)</t>
        </is>
      </c>
      <c r="D331" s="20" t="inlineStr">
        <is>
          <t>PROPOSED (v3) — pending clinical sign-off</t>
        </is>
      </c>
    </row>
    <row r="332">
      <c r="A332" s="20" t="inlineStr">
        <is>
          <t>labTestName</t>
        </is>
      </c>
      <c r="B332" s="20" t="n">
        <v>7</v>
      </c>
      <c r="C332" s="20" t="inlineStr">
        <is>
          <t>Urea (RFT)</t>
        </is>
      </c>
      <c r="D332" s="20" t="inlineStr">
        <is>
          <t>PROPOSED (v3) — pending clinical sign-off</t>
        </is>
      </c>
    </row>
    <row r="333">
      <c r="A333" s="20" t="inlineStr">
        <is>
          <t>labTestName</t>
        </is>
      </c>
      <c r="B333" s="20" t="n">
        <v>8</v>
      </c>
      <c r="C333" s="20" t="inlineStr">
        <is>
          <t>ALT (LFT)</t>
        </is>
      </c>
      <c r="D333" s="20" t="inlineStr">
        <is>
          <t>PROPOSED (v3) — pending clinical sign-off</t>
        </is>
      </c>
    </row>
    <row r="334">
      <c r="A334" s="20" t="inlineStr">
        <is>
          <t>labTestName</t>
        </is>
      </c>
      <c r="B334" s="20" t="n">
        <v>9</v>
      </c>
      <c r="C334" s="20" t="inlineStr">
        <is>
          <t>AST (LFT)</t>
        </is>
      </c>
      <c r="D334" s="20" t="inlineStr">
        <is>
          <t>PROPOSED (v3) — pending clinical sign-off</t>
        </is>
      </c>
    </row>
    <row r="335">
      <c r="A335" s="20" t="inlineStr">
        <is>
          <t>labTestName</t>
        </is>
      </c>
      <c r="B335" s="20" t="n">
        <v>10</v>
      </c>
      <c r="C335" s="20" t="inlineStr">
        <is>
          <t>Bilirubin (LFT)</t>
        </is>
      </c>
      <c r="D335" s="20" t="inlineStr">
        <is>
          <t>PROPOSED (v3) — pending clinical sign-off</t>
        </is>
      </c>
    </row>
    <row r="336">
      <c r="A336" s="20" t="inlineStr">
        <is>
          <t>labTestName</t>
        </is>
      </c>
      <c r="B336" s="20" t="n">
        <v>11</v>
      </c>
      <c r="C336" s="20" t="inlineStr">
        <is>
          <t>Alkaline Phosphatase (ALP)</t>
        </is>
      </c>
      <c r="D336" s="20" t="inlineStr">
        <is>
          <t>PROPOSED (v3) — pending clinical sign-off</t>
        </is>
      </c>
    </row>
    <row r="337">
      <c r="A337" s="20" t="inlineStr">
        <is>
          <t>ctcaeGrade</t>
        </is>
      </c>
      <c r="B337" s="20" t="n">
        <v>1</v>
      </c>
      <c r="C337" s="20" t="inlineStr">
        <is>
          <t>Grade 1 — Mild</t>
        </is>
      </c>
      <c r="D337" s="20" t="inlineStr">
        <is>
          <t>PROPOSED (v3) — pending clinical sign-off</t>
        </is>
      </c>
    </row>
    <row r="338">
      <c r="A338" s="20" t="inlineStr">
        <is>
          <t>ctcaeGrade</t>
        </is>
      </c>
      <c r="B338" s="20" t="n">
        <v>2</v>
      </c>
      <c r="C338" s="20" t="inlineStr">
        <is>
          <t>Grade 2 — Moderate</t>
        </is>
      </c>
      <c r="D338" s="20" t="inlineStr">
        <is>
          <t>PROPOSED (v3) — pending clinical sign-off</t>
        </is>
      </c>
    </row>
    <row r="339">
      <c r="A339" s="20" t="inlineStr">
        <is>
          <t>ctcaeGrade</t>
        </is>
      </c>
      <c r="B339" s="20" t="n">
        <v>3</v>
      </c>
      <c r="C339" s="20" t="inlineStr">
        <is>
          <t>Grade 3 — Severe</t>
        </is>
      </c>
      <c r="D339" s="20" t="inlineStr">
        <is>
          <t>PROPOSED (v3) — pending clinical sign-off</t>
        </is>
      </c>
    </row>
    <row r="340">
      <c r="A340" s="20" t="inlineStr">
        <is>
          <t>ctcaeGrade</t>
        </is>
      </c>
      <c r="B340" s="20" t="n">
        <v>4</v>
      </c>
      <c r="C340" s="20" t="inlineStr">
        <is>
          <t>Grade 4 — Life-threatening</t>
        </is>
      </c>
      <c r="D340" s="20" t="inlineStr">
        <is>
          <t>PROPOSED (v3) — pending clinical sign-off</t>
        </is>
      </c>
    </row>
    <row r="341">
      <c r="A341" s="20" t="inlineStr">
        <is>
          <t>ctcaeGrade</t>
        </is>
      </c>
      <c r="B341" s="20" t="n">
        <v>5</v>
      </c>
      <c r="C341" s="20" t="inlineStr">
        <is>
          <t>Grade 5 — Death</t>
        </is>
      </c>
      <c r="D341" s="20" t="inlineStr">
        <is>
          <t>PROPOSED (v3) — pending clinical sign-off</t>
        </is>
      </c>
    </row>
    <row r="342">
      <c r="A342" s="20" t="inlineStr">
        <is>
          <t>aeActionTaken</t>
        </is>
      </c>
      <c r="B342" s="20" t="n">
        <v>1</v>
      </c>
      <c r="C342" s="20" t="inlineStr">
        <is>
          <t>None</t>
        </is>
      </c>
      <c r="D342" s="20" t="inlineStr">
        <is>
          <t>PROPOSED (v3) — pending clinical sign-off</t>
        </is>
      </c>
    </row>
    <row r="343">
      <c r="A343" s="20" t="inlineStr">
        <is>
          <t>aeActionTaken</t>
        </is>
      </c>
      <c r="B343" s="20" t="n">
        <v>2</v>
      </c>
      <c r="C343" s="20" t="inlineStr">
        <is>
          <t>Dose reduced</t>
        </is>
      </c>
      <c r="D343" s="20" t="inlineStr">
        <is>
          <t>PROPOSED (v3) — pending clinical sign-off</t>
        </is>
      </c>
    </row>
    <row r="344">
      <c r="A344" s="20" t="inlineStr">
        <is>
          <t>aeActionTaken</t>
        </is>
      </c>
      <c r="B344" s="20" t="n">
        <v>3</v>
      </c>
      <c r="C344" s="20" t="inlineStr">
        <is>
          <t>Treatment interrupted</t>
        </is>
      </c>
      <c r="D344" s="20" t="inlineStr">
        <is>
          <t>PROPOSED (v3) — pending clinical sign-off</t>
        </is>
      </c>
    </row>
    <row r="345">
      <c r="A345" s="20" t="inlineStr">
        <is>
          <t>aeActionTaken</t>
        </is>
      </c>
      <c r="B345" s="20" t="n">
        <v>4</v>
      </c>
      <c r="C345" s="20" t="inlineStr">
        <is>
          <t>Treatment discontinued</t>
        </is>
      </c>
      <c r="D345" s="20" t="inlineStr">
        <is>
          <t>PROPOSED (v3) — pending clinical sign-off</t>
        </is>
      </c>
    </row>
    <row r="346">
      <c r="A346" s="20" t="inlineStr">
        <is>
          <t>aeActionTaken</t>
        </is>
      </c>
      <c r="B346" s="20" t="n">
        <v>5</v>
      </c>
      <c r="C346" s="20" t="inlineStr">
        <is>
          <t>Hospitalisation</t>
        </is>
      </c>
      <c r="D346" s="20" t="inlineStr">
        <is>
          <t>PROPOSED (v3) — pending clinical sign-off</t>
        </is>
      </c>
    </row>
    <row r="347">
      <c r="A347" s="20" t="inlineStr">
        <is>
          <t>aeActionTaken</t>
        </is>
      </c>
      <c r="B347" s="20" t="n">
        <v>6</v>
      </c>
      <c r="C347" s="20" t="inlineStr">
        <is>
          <t>Concomitant medication</t>
        </is>
      </c>
      <c r="D347" s="20" t="inlineStr">
        <is>
          <t>PROPOSED (v3) — pending clinical sign-off</t>
        </is>
      </c>
    </row>
    <row r="348">
      <c r="A348" s="20" t="inlineStr">
        <is>
          <t>relatedTreatment</t>
        </is>
      </c>
      <c r="B348" s="20" t="n">
        <v>1</v>
      </c>
      <c r="C348" s="20" t="inlineStr">
        <is>
          <t>ADT</t>
        </is>
      </c>
      <c r="D348" s="20" t="inlineStr">
        <is>
          <t>PROPOSED (v3) — pending clinical sign-off</t>
        </is>
      </c>
    </row>
    <row r="349">
      <c r="A349" s="20" t="inlineStr">
        <is>
          <t>relatedTreatment</t>
        </is>
      </c>
      <c r="B349" s="20" t="n">
        <v>2</v>
      </c>
      <c r="C349" s="20" t="inlineStr">
        <is>
          <t>ARPI / ARSI</t>
        </is>
      </c>
      <c r="D349" s="20" t="inlineStr">
        <is>
          <t>PROPOSED (v3) — pending clinical sign-off</t>
        </is>
      </c>
    </row>
    <row r="350">
      <c r="A350" s="20" t="inlineStr">
        <is>
          <t>relatedTreatment</t>
        </is>
      </c>
      <c r="B350" s="20" t="n">
        <v>3</v>
      </c>
      <c r="C350" s="20" t="inlineStr">
        <is>
          <t>Chemotherapy</t>
        </is>
      </c>
      <c r="D350" s="20" t="inlineStr">
        <is>
          <t>PROPOSED (v3) — pending clinical sign-off</t>
        </is>
      </c>
    </row>
    <row r="351">
      <c r="A351" s="20" t="inlineStr">
        <is>
          <t>relatedTreatment</t>
        </is>
      </c>
      <c r="B351" s="20" t="n">
        <v>4</v>
      </c>
      <c r="C351" s="20" t="inlineStr">
        <is>
          <t>Radiotherapy</t>
        </is>
      </c>
      <c r="D351" s="20" t="inlineStr">
        <is>
          <t>PROPOSED (v3) — pending clinical sign-off</t>
        </is>
      </c>
    </row>
    <row r="352">
      <c r="A352" s="20" t="inlineStr">
        <is>
          <t>relatedTreatment</t>
        </is>
      </c>
      <c r="B352" s="20" t="n">
        <v>5</v>
      </c>
      <c r="C352" s="20" t="inlineStr">
        <is>
          <t>Radioligand therapy</t>
        </is>
      </c>
      <c r="D352" s="20" t="inlineStr">
        <is>
          <t>PROPOSED (v3) — pending clinical sign-off</t>
        </is>
      </c>
    </row>
    <row r="353">
      <c r="A353" s="20" t="inlineStr">
        <is>
          <t>relatedTreatment</t>
        </is>
      </c>
      <c r="B353" s="20" t="n">
        <v>6</v>
      </c>
      <c r="C353" s="20" t="inlineStr">
        <is>
          <t>Surgery</t>
        </is>
      </c>
      <c r="D353" s="20" t="inlineStr">
        <is>
          <t>PROPOSED (v3) — pending clinical sign-off</t>
        </is>
      </c>
    </row>
    <row r="354">
      <c r="A354" s="20" t="inlineStr">
        <is>
          <t>relatedTreatment</t>
        </is>
      </c>
      <c r="B354" s="20" t="n">
        <v>7</v>
      </c>
      <c r="C354" s="20" t="inlineStr">
        <is>
          <t>Other / Unknown</t>
        </is>
      </c>
      <c r="D354" s="20" t="inlineStr">
        <is>
          <t>PROPOSED (v3) — pending clinical sign-off</t>
        </is>
      </c>
    </row>
    <row r="355">
      <c r="A355" s="20" t="inlineStr">
        <is>
          <t>boneEventType</t>
        </is>
      </c>
      <c r="B355" s="20" t="n">
        <v>1</v>
      </c>
      <c r="C355" s="20" t="inlineStr">
        <is>
          <t>Pathological fracture</t>
        </is>
      </c>
      <c r="D355" s="20" t="inlineStr">
        <is>
          <t>PROPOSED (v3) — pending clinical sign-off</t>
        </is>
      </c>
    </row>
    <row r="356">
      <c r="A356" s="20" t="inlineStr">
        <is>
          <t>boneEventType</t>
        </is>
      </c>
      <c r="B356" s="20" t="n">
        <v>2</v>
      </c>
      <c r="C356" s="20" t="inlineStr">
        <is>
          <t>Spinal cord compression</t>
        </is>
      </c>
      <c r="D356" s="20" t="inlineStr">
        <is>
          <t>PROPOSED (v3) — pending clinical sign-off</t>
        </is>
      </c>
    </row>
    <row r="357">
      <c r="A357" s="20" t="inlineStr">
        <is>
          <t>boneEventType</t>
        </is>
      </c>
      <c r="B357" s="20" t="n">
        <v>3</v>
      </c>
      <c r="C357" s="20" t="inlineStr">
        <is>
          <t>Radiation to bone</t>
        </is>
      </c>
      <c r="D357" s="20" t="inlineStr">
        <is>
          <t>PROPOSED (v3) — pending clinical sign-off</t>
        </is>
      </c>
    </row>
    <row r="358">
      <c r="A358" s="20" t="inlineStr">
        <is>
          <t>boneEventType</t>
        </is>
      </c>
      <c r="B358" s="20" t="n">
        <v>4</v>
      </c>
      <c r="C358" s="20" t="inlineStr">
        <is>
          <t>Surgery to bone</t>
        </is>
      </c>
      <c r="D358" s="20" t="inlineStr">
        <is>
          <t>PROPOSED (v3) — pending clinical sign-off</t>
        </is>
      </c>
    </row>
    <row r="359">
      <c r="A359" s="20" t="inlineStr">
        <is>
          <t>boneEventType</t>
        </is>
      </c>
      <c r="B359" s="20" t="n">
        <v>5</v>
      </c>
      <c r="C359" s="20" t="inlineStr">
        <is>
          <t>Hypercalcaemia</t>
        </is>
      </c>
      <c r="D359" s="20" t="inlineStr">
        <is>
          <t>PROPOSED (v3) — pending clinical sign-off</t>
        </is>
      </c>
    </row>
    <row r="360">
      <c r="A360" s="20" t="inlineStr">
        <is>
          <t>qolInstrument</t>
        </is>
      </c>
      <c r="B360" s="20" t="n">
        <v>1</v>
      </c>
      <c r="C360" s="20" t="inlineStr">
        <is>
          <t>EQ-5D-5L</t>
        </is>
      </c>
      <c r="D360" s="20" t="inlineStr">
        <is>
          <t>PROPOSED (v3) — pending clinical sign-off</t>
        </is>
      </c>
    </row>
    <row r="361">
      <c r="A361" s="20" t="inlineStr">
        <is>
          <t>qolInstrument</t>
        </is>
      </c>
      <c r="B361" s="20" t="n">
        <v>2</v>
      </c>
      <c r="C361" s="20" t="inlineStr">
        <is>
          <t>FACT-P</t>
        </is>
      </c>
      <c r="D361" s="20" t="inlineStr">
        <is>
          <t>PROPOSED (v3) — pending clinical sign-off</t>
        </is>
      </c>
    </row>
    <row r="362">
      <c r="A362" s="20" t="inlineStr">
        <is>
          <t>qolInstrument</t>
        </is>
      </c>
      <c r="B362" s="20" t="n">
        <v>3</v>
      </c>
      <c r="C362" s="20" t="inlineStr">
        <is>
          <t>EORTC QLQ-C30</t>
        </is>
      </c>
      <c r="D362" s="20" t="inlineStr">
        <is>
          <t>PROPOSED (v3) — pending clinical sign-off</t>
        </is>
      </c>
    </row>
    <row r="363">
      <c r="A363" s="20" t="inlineStr">
        <is>
          <t>healthcareContactType</t>
        </is>
      </c>
      <c r="B363" s="20" t="n">
        <v>1</v>
      </c>
      <c r="C363" s="20" t="inlineStr">
        <is>
          <t>Hospitalisation</t>
        </is>
      </c>
      <c r="D363" s="20" t="inlineStr">
        <is>
          <t>PROPOSED (v3) — pending clinical sign-off</t>
        </is>
      </c>
    </row>
    <row r="364">
      <c r="A364" s="20" t="inlineStr">
        <is>
          <t>healthcareContactType</t>
        </is>
      </c>
      <c r="B364" s="20" t="n">
        <v>2</v>
      </c>
      <c r="C364" s="20" t="inlineStr">
        <is>
          <t>Emergency (ER) visit</t>
        </is>
      </c>
      <c r="D364" s="20" t="inlineStr">
        <is>
          <t>PROPOSED (v3) — pending clinical sign-off</t>
        </is>
      </c>
    </row>
    <row r="365">
      <c r="A365" s="20" t="inlineStr">
        <is>
          <t>healthcareContactType</t>
        </is>
      </c>
      <c r="B365" s="20" t="n">
        <v>3</v>
      </c>
      <c r="C365" s="20" t="inlineStr">
        <is>
          <t>Day-care admission</t>
        </is>
      </c>
      <c r="D365" s="20" t="inlineStr">
        <is>
          <t>PROPOSED (v3) — pending clinical sign-off</t>
        </is>
      </c>
    </row>
    <row r="366">
      <c r="A366" s="20" t="inlineStr">
        <is>
          <t>referralService</t>
        </is>
      </c>
      <c r="B366" s="20" t="n">
        <v>1</v>
      </c>
      <c r="C366" s="20" t="inlineStr">
        <is>
          <t>Dietician</t>
        </is>
      </c>
      <c r="D366" s="20" t="inlineStr">
        <is>
          <t>PROPOSED (v3) — pending clinical sign-off</t>
        </is>
      </c>
    </row>
    <row r="367">
      <c r="A367" s="20" t="inlineStr">
        <is>
          <t>referralService</t>
        </is>
      </c>
      <c r="B367" s="20" t="n">
        <v>2</v>
      </c>
      <c r="C367" s="20" t="inlineStr">
        <is>
          <t>Physiotherapy</t>
        </is>
      </c>
      <c r="D367" s="20" t="inlineStr">
        <is>
          <t>PROPOSED (v3) — pending clinical sign-off</t>
        </is>
      </c>
    </row>
    <row r="368">
      <c r="A368" s="20" t="inlineStr">
        <is>
          <t>referralService</t>
        </is>
      </c>
      <c r="B368" s="20" t="n">
        <v>3</v>
      </c>
      <c r="C368" s="20" t="inlineStr">
        <is>
          <t>Psychology</t>
        </is>
      </c>
      <c r="D368" s="20" t="inlineStr">
        <is>
          <t>PROPOSED (v3) — pending clinical sign-off</t>
        </is>
      </c>
    </row>
    <row r="369">
      <c r="A369" s="20" t="inlineStr">
        <is>
          <t>referralService</t>
        </is>
      </c>
      <c r="B369" s="20" t="n">
        <v>4</v>
      </c>
      <c r="C369" s="20" t="inlineStr">
        <is>
          <t>Social work</t>
        </is>
      </c>
      <c r="D369" s="20" t="inlineStr">
        <is>
          <t>PROPOSED (v3) — pending clinical sign-off</t>
        </is>
      </c>
    </row>
    <row r="370">
      <c r="A370" s="20" t="inlineStr">
        <is>
          <t>referralService</t>
        </is>
      </c>
      <c r="B370" s="20" t="n">
        <v>5</v>
      </c>
      <c r="C370" s="20" t="inlineStr">
        <is>
          <t>Genetic counselling</t>
        </is>
      </c>
      <c r="D370" s="20" t="inlineStr">
        <is>
          <t>PROPOSED (v3) — pending clinical sign-off</t>
        </is>
      </c>
    </row>
    <row r="371">
      <c r="A371" s="20" t="inlineStr">
        <is>
          <t>referralService</t>
        </is>
      </c>
      <c r="B371" s="20" t="n">
        <v>6</v>
      </c>
      <c r="C371" s="20" t="inlineStr">
        <is>
          <t>Palliative care</t>
        </is>
      </c>
      <c r="D371" s="20" t="inlineStr">
        <is>
          <t>PROPOSED (v3) — pending clinical sign-off</t>
        </is>
      </c>
    </row>
    <row r="372">
      <c r="A372" s="20" t="inlineStr">
        <is>
          <t>referralService</t>
        </is>
      </c>
      <c r="B372" s="20" t="n">
        <v>7</v>
      </c>
      <c r="C372" s="20" t="inlineStr">
        <is>
          <t>Nursing</t>
        </is>
      </c>
      <c r="D372" s="20" t="inlineStr">
        <is>
          <t>PROPOSED (v3) — pending clinical sign-off</t>
        </is>
      </c>
    </row>
    <row r="373">
      <c r="A373" s="20" t="inlineStr">
        <is>
          <t>referralStatus</t>
        </is>
      </c>
      <c r="B373" s="20" t="n">
        <v>1</v>
      </c>
      <c r="C373" s="20" t="inlineStr">
        <is>
          <t>Referred</t>
        </is>
      </c>
      <c r="D373" s="20" t="inlineStr">
        <is>
          <t>PROPOSED (v3) — pending clinical sign-off</t>
        </is>
      </c>
    </row>
    <row r="374">
      <c r="A374" s="20" t="inlineStr">
        <is>
          <t>referralStatus</t>
        </is>
      </c>
      <c r="B374" s="20" t="n">
        <v>2</v>
      </c>
      <c r="C374" s="20" t="inlineStr">
        <is>
          <t>Seen</t>
        </is>
      </c>
      <c r="D374" s="20" t="inlineStr">
        <is>
          <t>PROPOSED (v3) — pending clinical sign-off</t>
        </is>
      </c>
    </row>
    <row r="375">
      <c r="A375" s="20" t="inlineStr">
        <is>
          <t>referralStatus</t>
        </is>
      </c>
      <c r="B375" s="20" t="n">
        <v>3</v>
      </c>
      <c r="C375" s="20" t="inlineStr">
        <is>
          <t>Declined</t>
        </is>
      </c>
      <c r="D375" s="20" t="inlineStr">
        <is>
          <t>PROPOSED (v3) — pending clinical sign-off</t>
        </is>
      </c>
    </row>
    <row r="376">
      <c r="A376" s="20" t="inlineStr">
        <is>
          <t>referralStatus</t>
        </is>
      </c>
      <c r="B376" s="20" t="n">
        <v>4</v>
      </c>
      <c r="C376" s="20" t="inlineStr">
        <is>
          <t>Pending</t>
        </is>
      </c>
      <c r="D376" s="20" t="inlineStr">
        <is>
          <t>PROPOSED (v3) — pending clinical sign-off</t>
        </is>
      </c>
    </row>
    <row r="377">
      <c r="A377" s="20" t="inlineStr">
        <is>
          <t>visitType</t>
        </is>
      </c>
      <c r="B377" s="20" t="n">
        <v>1</v>
      </c>
      <c r="C377" s="20" t="inlineStr">
        <is>
          <t>First consultation</t>
        </is>
      </c>
      <c r="D377" s="20" t="inlineStr">
        <is>
          <t>PROPOSED (v3) — visits &amp; treatment plans</t>
        </is>
      </c>
    </row>
    <row r="378">
      <c r="A378" s="20" t="inlineStr">
        <is>
          <t>visitType</t>
        </is>
      </c>
      <c r="B378" s="20" t="n">
        <v>2</v>
      </c>
      <c r="C378" s="20" t="inlineStr">
        <is>
          <t>Follow-up review</t>
        </is>
      </c>
      <c r="D378" s="20" t="inlineStr">
        <is>
          <t>PROPOSED (v3) — visits &amp; treatment plans</t>
        </is>
      </c>
    </row>
    <row r="379">
      <c r="A379" s="20" t="inlineStr">
        <is>
          <t>visitType</t>
        </is>
      </c>
      <c r="B379" s="20" t="n">
        <v>3</v>
      </c>
      <c r="C379" s="20" t="inlineStr">
        <is>
          <t>Treatment / day-care</t>
        </is>
      </c>
      <c r="D379" s="20" t="inlineStr">
        <is>
          <t>PROPOSED (v3) — visits &amp; treatment plans</t>
        </is>
      </c>
    </row>
    <row r="380">
      <c r="A380" s="20" t="inlineStr">
        <is>
          <t>visitType</t>
        </is>
      </c>
      <c r="B380" s="20" t="n">
        <v>4</v>
      </c>
      <c r="C380" s="20" t="inlineStr">
        <is>
          <t>MDT review</t>
        </is>
      </c>
      <c r="D380" s="20" t="inlineStr">
        <is>
          <t>PROPOSED (v3) — visits &amp; treatment plans</t>
        </is>
      </c>
    </row>
    <row r="381">
      <c r="A381" s="20" t="inlineStr">
        <is>
          <t>visitType</t>
        </is>
      </c>
      <c r="B381" s="20" t="n">
        <v>5</v>
      </c>
      <c r="C381" s="20" t="inlineStr">
        <is>
          <t>Investigation only</t>
        </is>
      </c>
      <c r="D381" s="20" t="inlineStr">
        <is>
          <t>PROPOSED (v3) — visits &amp; treatment plans</t>
        </is>
      </c>
    </row>
    <row r="382">
      <c r="A382" s="20" t="inlineStr">
        <is>
          <t>visitType</t>
        </is>
      </c>
      <c r="B382" s="20" t="n">
        <v>6</v>
      </c>
      <c r="C382" s="20" t="inlineStr">
        <is>
          <t>Emergency / unplanned</t>
        </is>
      </c>
      <c r="D382" s="20" t="inlineStr">
        <is>
          <t>PROPOSED (v3) — visits &amp; treatment plans</t>
        </is>
      </c>
    </row>
    <row r="383">
      <c r="A383" s="20" t="inlineStr">
        <is>
          <t>visitType</t>
        </is>
      </c>
      <c r="B383" s="20" t="n">
        <v>7</v>
      </c>
      <c r="C383" s="20" t="inlineStr">
        <is>
          <t>Telemedicine</t>
        </is>
      </c>
      <c r="D383" s="20" t="inlineStr">
        <is>
          <t>PROPOSED (v3) — visits &amp; treatment plans</t>
        </is>
      </c>
    </row>
    <row r="384">
      <c r="A384" s="20" t="inlineStr">
        <is>
          <t>diseaseStateAtVisit</t>
        </is>
      </c>
      <c r="B384" s="20" t="n">
        <v>1</v>
      </c>
      <c r="C384" s="20" t="inlineStr">
        <is>
          <t>Localized — on active surveillance</t>
        </is>
      </c>
      <c r="D384" s="20" t="inlineStr">
        <is>
          <t>PROPOSED (v3) — visits &amp; treatment plans</t>
        </is>
      </c>
    </row>
    <row r="385">
      <c r="A385" s="20" t="inlineStr">
        <is>
          <t>diseaseStateAtVisit</t>
        </is>
      </c>
      <c r="B385" s="20" t="n">
        <v>2</v>
      </c>
      <c r="C385" s="20" t="inlineStr">
        <is>
          <t>Localized / locally advanced — on curative treatment</t>
        </is>
      </c>
      <c r="D385" s="20" t="inlineStr">
        <is>
          <t>PROPOSED (v3) — visits &amp; treatment plans</t>
        </is>
      </c>
    </row>
    <row r="386">
      <c r="A386" s="20" t="inlineStr">
        <is>
          <t>diseaseStateAtVisit</t>
        </is>
      </c>
      <c r="B386" s="20" t="n">
        <v>3</v>
      </c>
      <c r="C386" s="20" t="inlineStr">
        <is>
          <t>mHSPC (metastatic hormone-sensitive)</t>
        </is>
      </c>
      <c r="D386" s="20" t="inlineStr">
        <is>
          <t>PROPOSED (v3) — visits &amp; treatment plans</t>
        </is>
      </c>
    </row>
    <row r="387">
      <c r="A387" s="20" t="inlineStr">
        <is>
          <t>diseaseStateAtVisit</t>
        </is>
      </c>
      <c r="B387" s="20" t="n">
        <v>4</v>
      </c>
      <c r="C387" s="20" t="inlineStr">
        <is>
          <t>mCRPC (metastatic castration-resistant)</t>
        </is>
      </c>
      <c r="D387" s="20" t="inlineStr">
        <is>
          <t>PROPOSED (v3) — visits &amp; treatment plans</t>
        </is>
      </c>
    </row>
    <row r="388">
      <c r="A388" s="20" t="inlineStr">
        <is>
          <t>diseaseStateAtVisit</t>
        </is>
      </c>
      <c r="B388" s="20" t="n">
        <v>5</v>
      </c>
      <c r="C388" s="20" t="inlineStr">
        <is>
          <t>On radioligand therapy (Pluvicto)</t>
        </is>
      </c>
      <c r="D388" s="20" t="inlineStr">
        <is>
          <t>PROPOSED (v3) — visits &amp; treatment plans</t>
        </is>
      </c>
    </row>
    <row r="389">
      <c r="A389" s="20" t="inlineStr">
        <is>
          <t>diseaseStateAtVisit</t>
        </is>
      </c>
      <c r="B389" s="20" t="n">
        <v>6</v>
      </c>
      <c r="C389" s="20" t="inlineStr">
        <is>
          <t>Long-term survivor / surveillance</t>
        </is>
      </c>
      <c r="D389" s="20" t="inlineStr">
        <is>
          <t>PROPOSED (v3) — visits &amp; treatment plans</t>
        </is>
      </c>
    </row>
    <row r="390">
      <c r="A390" s="20" t="inlineStr">
        <is>
          <t>visitOutcome</t>
        </is>
      </c>
      <c r="B390" s="20" t="n">
        <v>1</v>
      </c>
      <c r="C390" s="20" t="inlineStr">
        <is>
          <t>Continue current plan</t>
        </is>
      </c>
      <c r="D390" s="20" t="inlineStr">
        <is>
          <t>PROPOSED (v3) — visits &amp; treatment plans</t>
        </is>
      </c>
    </row>
    <row r="391">
      <c r="A391" s="20" t="inlineStr">
        <is>
          <t>visitOutcome</t>
        </is>
      </c>
      <c r="B391" s="20" t="n">
        <v>2</v>
      </c>
      <c r="C391" s="20" t="inlineStr">
        <is>
          <t>Treatment plan changed</t>
        </is>
      </c>
      <c r="D391" s="20" t="inlineStr">
        <is>
          <t>PROPOSED (v3) — visits &amp; treatment plans</t>
        </is>
      </c>
    </row>
    <row r="392">
      <c r="A392" s="20" t="inlineStr">
        <is>
          <t>visitOutcome</t>
        </is>
      </c>
      <c r="B392" s="20" t="n">
        <v>3</v>
      </c>
      <c r="C392" s="20" t="inlineStr">
        <is>
          <t>Referred to another service</t>
        </is>
      </c>
      <c r="D392" s="20" t="inlineStr">
        <is>
          <t>PROPOSED (v3) — visits &amp; treatment plans</t>
        </is>
      </c>
    </row>
    <row r="393">
      <c r="A393" s="20" t="inlineStr">
        <is>
          <t>visitOutcome</t>
        </is>
      </c>
      <c r="B393" s="20" t="n">
        <v>4</v>
      </c>
      <c r="C393" s="20" t="inlineStr">
        <is>
          <t>Admitted</t>
        </is>
      </c>
      <c r="D393" s="20" t="inlineStr">
        <is>
          <t>PROPOSED (v3) — visits &amp; treatment plans</t>
        </is>
      </c>
    </row>
    <row r="394">
      <c r="A394" s="20" t="inlineStr">
        <is>
          <t>visitOutcome</t>
        </is>
      </c>
      <c r="B394" s="20" t="n">
        <v>5</v>
      </c>
      <c r="C394" s="20" t="inlineStr">
        <is>
          <t>Discharged from follow-up</t>
        </is>
      </c>
      <c r="D394" s="20" t="inlineStr">
        <is>
          <t>PROPOSED (v3) — visits &amp; treatment plans</t>
        </is>
      </c>
    </row>
    <row r="395">
      <c r="A395" s="20" t="inlineStr">
        <is>
          <t>visitOutcome</t>
        </is>
      </c>
      <c r="B395" s="20" t="n">
        <v>6</v>
      </c>
      <c r="C395" s="20" t="inlineStr">
        <is>
          <t>Deceased</t>
        </is>
      </c>
      <c r="D395" s="20" t="inlineStr">
        <is>
          <t>PROPOSED (v3) — visits &amp; treatment plans</t>
        </is>
      </c>
    </row>
    <row r="396">
      <c r="A396" s="20" t="inlineStr">
        <is>
          <t>lineOfTherapy</t>
        </is>
      </c>
      <c r="B396" s="20" t="n">
        <v>1</v>
      </c>
      <c r="C396" s="20" t="inlineStr">
        <is>
          <t>1st line</t>
        </is>
      </c>
      <c r="D396" s="20" t="inlineStr">
        <is>
          <t>PROPOSED (v3) — visits &amp; treatment plans</t>
        </is>
      </c>
    </row>
    <row r="397">
      <c r="A397" s="20" t="inlineStr">
        <is>
          <t>lineOfTherapy</t>
        </is>
      </c>
      <c r="B397" s="20" t="n">
        <v>2</v>
      </c>
      <c r="C397" s="20" t="inlineStr">
        <is>
          <t>2nd line</t>
        </is>
      </c>
      <c r="D397" s="20" t="inlineStr">
        <is>
          <t>PROPOSED (v3) — visits &amp; treatment plans</t>
        </is>
      </c>
    </row>
    <row r="398">
      <c r="A398" s="20" t="inlineStr">
        <is>
          <t>lineOfTherapy</t>
        </is>
      </c>
      <c r="B398" s="20" t="n">
        <v>3</v>
      </c>
      <c r="C398" s="20" t="inlineStr">
        <is>
          <t>3rd line</t>
        </is>
      </c>
      <c r="D398" s="20" t="inlineStr">
        <is>
          <t>PROPOSED (v3) — visits &amp; treatment plans</t>
        </is>
      </c>
    </row>
    <row r="399">
      <c r="A399" s="20" t="inlineStr">
        <is>
          <t>lineOfTherapy</t>
        </is>
      </c>
      <c r="B399" s="20" t="n">
        <v>4</v>
      </c>
      <c r="C399" s="20" t="inlineStr">
        <is>
          <t>4th line or later</t>
        </is>
      </c>
      <c r="D399" s="20" t="inlineStr">
        <is>
          <t>PROPOSED (v3) — visits &amp; treatment plans</t>
        </is>
      </c>
    </row>
    <row r="400">
      <c r="A400" s="20" t="inlineStr">
        <is>
          <t>planStatus</t>
        </is>
      </c>
      <c r="B400" s="20" t="n">
        <v>1</v>
      </c>
      <c r="C400" s="20" t="inlineStr">
        <is>
          <t>Active</t>
        </is>
      </c>
      <c r="D400" s="20" t="inlineStr">
        <is>
          <t>PROPOSED (v3) — visits &amp; treatment plans</t>
        </is>
      </c>
    </row>
    <row r="401">
      <c r="A401" s="20" t="inlineStr">
        <is>
          <t>planStatus</t>
        </is>
      </c>
      <c r="B401" s="20" t="n">
        <v>2</v>
      </c>
      <c r="C401" s="20" t="inlineStr">
        <is>
          <t>Superseded</t>
        </is>
      </c>
      <c r="D401" s="20" t="inlineStr">
        <is>
          <t>PROPOSED (v3) — visits &amp; treatment plans</t>
        </is>
      </c>
    </row>
    <row r="402">
      <c r="A402" s="20" t="inlineStr">
        <is>
          <t>planStatus</t>
        </is>
      </c>
      <c r="B402" s="20" t="n">
        <v>3</v>
      </c>
      <c r="C402" s="20" t="inlineStr">
        <is>
          <t>Completed</t>
        </is>
      </c>
      <c r="D402" s="20" t="inlineStr">
        <is>
          <t>PROPOSED (v3) — visits &amp; treatment plans</t>
        </is>
      </c>
    </row>
    <row r="403">
      <c r="A403" s="20" t="inlineStr">
        <is>
          <t>planStatus</t>
        </is>
      </c>
      <c r="B403" s="20" t="n">
        <v>4</v>
      </c>
      <c r="C403" s="20" t="inlineStr">
        <is>
          <t>Stopped — toxicity</t>
        </is>
      </c>
      <c r="D403" s="20" t="inlineStr">
        <is>
          <t>PROPOSED (v3) — visits &amp; treatment plans</t>
        </is>
      </c>
    </row>
    <row r="404">
      <c r="A404" s="20" t="inlineStr">
        <is>
          <t>planStatus</t>
        </is>
      </c>
      <c r="B404" s="20" t="n">
        <v>5</v>
      </c>
      <c r="C404" s="20" t="inlineStr">
        <is>
          <t>Stopped — patient choice</t>
        </is>
      </c>
      <c r="D404" s="20" t="inlineStr">
        <is>
          <t>PROPOSED (v3) — visits &amp; treatment plans</t>
        </is>
      </c>
    </row>
    <row r="405">
      <c r="A405" s="20" t="inlineStr">
        <is>
          <t>reasonForPlanChange</t>
        </is>
      </c>
      <c r="B405" s="20" t="n">
        <v>1</v>
      </c>
      <c r="C405" s="20" t="inlineStr">
        <is>
          <t>Initial plan</t>
        </is>
      </c>
      <c r="D405" s="20" t="inlineStr">
        <is>
          <t>PROPOSED (v3) — visits &amp; treatment plans</t>
        </is>
      </c>
    </row>
    <row r="406">
      <c r="A406" s="20" t="inlineStr">
        <is>
          <t>reasonForPlanChange</t>
        </is>
      </c>
      <c r="B406" s="20" t="n">
        <v>2</v>
      </c>
      <c r="C406" s="20" t="inlineStr">
        <is>
          <t>Disease progression</t>
        </is>
      </c>
      <c r="D406" s="20" t="inlineStr">
        <is>
          <t>PROPOSED (v3) — visits &amp; treatment plans</t>
        </is>
      </c>
    </row>
    <row r="407">
      <c r="A407" s="20" t="inlineStr">
        <is>
          <t>reasonForPlanChange</t>
        </is>
      </c>
      <c r="B407" s="20" t="n">
        <v>3</v>
      </c>
      <c r="C407" s="20" t="inlineStr">
        <is>
          <t>Toxicity / intolerance</t>
        </is>
      </c>
      <c r="D407" s="20" t="inlineStr">
        <is>
          <t>PROPOSED (v3) — visits &amp; treatment plans</t>
        </is>
      </c>
    </row>
    <row r="408">
      <c r="A408" s="20" t="inlineStr">
        <is>
          <t>reasonForPlanChange</t>
        </is>
      </c>
      <c r="B408" s="20" t="n">
        <v>4</v>
      </c>
      <c r="C408" s="20" t="inlineStr">
        <is>
          <t>Patient preference</t>
        </is>
      </c>
      <c r="D408" s="20" t="inlineStr">
        <is>
          <t>PROPOSED (v3) — visits &amp; treatment plans</t>
        </is>
      </c>
    </row>
    <row r="409">
      <c r="A409" s="20" t="inlineStr">
        <is>
          <t>reasonForPlanChange</t>
        </is>
      </c>
      <c r="B409" s="20" t="n">
        <v>5</v>
      </c>
      <c r="C409" s="20" t="inlineStr">
        <is>
          <t>Access / affordability</t>
        </is>
      </c>
      <c r="D409" s="20" t="inlineStr">
        <is>
          <t>PROPOSED (v3) — visits &amp; treatment plans</t>
        </is>
      </c>
    </row>
    <row r="410">
      <c r="A410" s="20" t="inlineStr">
        <is>
          <t>reasonForPlanChange</t>
        </is>
      </c>
      <c r="B410" s="20" t="n">
        <v>6</v>
      </c>
      <c r="C410" s="20" t="inlineStr">
        <is>
          <t>Completed planned course</t>
        </is>
      </c>
      <c r="D410" s="20" t="inlineStr">
        <is>
          <t>PROPOSED (v3) — visits &amp; treatment plans</t>
        </is>
      </c>
    </row>
    <row r="411">
      <c r="A411" s="20" t="inlineStr">
        <is>
          <t>reasonForPlanChange</t>
        </is>
      </c>
      <c r="B411" s="20" t="n">
        <v>7</v>
      </c>
      <c r="C411" s="20" t="inlineStr">
        <is>
          <t>Comorbidity</t>
        </is>
      </c>
      <c r="D411" s="20" t="inlineStr">
        <is>
          <t>PROPOSED (v3) — visits &amp; treatment plans</t>
        </is>
      </c>
    </row>
  </sheetData>
  <mergeCells count="2">
    <mergeCell ref="A1:D1"/>
    <mergeCell ref="A2:D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L21"/>
  <sheetViews>
    <sheetView showGridLines="0" zoomScale="90" zoomScaleNormal="90" workbookViewId="0">
      <selection activeCell="A1" sqref="A1:L1"/>
    </sheetView>
  </sheetViews>
  <sheetFormatPr baseColWidth="8" defaultColWidth="8.875" defaultRowHeight="14.25"/>
  <cols>
    <col width="28" customWidth="1" min="1" max="1"/>
    <col width="18" customWidth="1" min="2" max="2"/>
    <col width="14" customWidth="1" min="3" max="3"/>
    <col width="36" customWidth="1" min="4" max="4"/>
    <col width="4" customWidth="1" min="5" max="5"/>
    <col width="22" customWidth="1" min="6" max="6"/>
    <col width="16" customWidth="1" min="7" max="8"/>
    <col width="18" customWidth="1" min="9" max="12"/>
  </cols>
  <sheetData>
    <row r="1" ht="15.75" customHeight="1">
      <c r="A1" s="12" t="inlineStr">
        <is>
          <t>Dashboard Quick Summary</t>
        </is>
      </c>
    </row>
    <row r="2">
      <c r="A2" s="13" t="inlineStr">
        <is>
          <t>Operational roll-up derived from the entry tabs and the Care_Gap_Tracker sheet. Use the dedicated Home_Dashboard and Population_Dashboard tabs for the full analytics inventory and logic map.</t>
        </is>
      </c>
    </row>
    <row r="4" ht="15" customHeight="1">
      <c r="A4" s="16" t="inlineStr">
        <is>
          <t>Registered Patients</t>
        </is>
      </c>
      <c r="B4" s="30" t="n"/>
      <c r="C4" s="16" t="inlineStr">
        <is>
          <t>Patients With Any Gap</t>
        </is>
      </c>
      <c r="D4" s="30" t="n"/>
      <c r="E4" s="16" t="inlineStr">
        <is>
          <t>Total Open Gaps</t>
        </is>
      </c>
      <c r="F4" s="30" t="n"/>
      <c r="G4" s="16" t="inlineStr">
        <is>
          <t>Patients With Urgent Gap</t>
        </is>
      </c>
      <c r="H4" s="30" t="n"/>
      <c r="I4" s="16" t="inlineStr">
        <is>
          <t>High / Very High / M1</t>
        </is>
      </c>
      <c r="J4" s="30" t="n"/>
      <c r="K4" s="16" t="inlineStr">
        <is>
          <t>Follow-up PSA Pending</t>
        </is>
      </c>
      <c r="L4" s="30" t="n"/>
    </row>
    <row r="5">
      <c r="A5" s="17">
        <f>COUNTIF(Demographics_Entry!$A$5:$A$104,"&lt;&gt;")</f>
        <v/>
      </c>
      <c r="B5" s="31" t="n"/>
      <c r="C5" s="17">
        <f>COUNTIF(Care_Gap_Tracker!$X$5:$X$104,"&gt;0")</f>
        <v/>
      </c>
      <c r="D5" s="31" t="n"/>
      <c r="E5" s="17">
        <f>SUM(Care_Gap_Tracker!$X$5:$X$104)</f>
        <v/>
      </c>
      <c r="F5" s="31" t="n"/>
      <c r="G5" s="17">
        <f>COUNTIF(Care_Gap_Tracker!$U$5:$U$104,"&gt;0")</f>
        <v/>
      </c>
      <c r="H5" s="31" t="n"/>
      <c r="I5" s="17">
        <f>COUNTIF(Care_Gap_Tracker!$C$5:$C$104,"High")+COUNTIF(Care_Gap_Tracker!$C$5:$C$104,"Very High / Locally Advanced")+COUNTIF(Care_Gap_Tracker!$C$5:$C$104,"M1 – Metastatic HSPC")</f>
        <v/>
      </c>
      <c r="J5" s="31" t="n"/>
      <c r="K5" s="17">
        <f>SUM(Care_Gap_Tracker!$S$5:$S$104)</f>
        <v/>
      </c>
      <c r="L5" s="31" t="n"/>
    </row>
    <row r="6">
      <c r="A6" s="32" t="n"/>
      <c r="B6" s="33" t="n"/>
      <c r="C6" s="32" t="n"/>
      <c r="D6" s="33" t="n"/>
      <c r="E6" s="32" t="n"/>
      <c r="F6" s="33" t="n"/>
      <c r="G6" s="32" t="n"/>
      <c r="H6" s="33" t="n"/>
      <c r="I6" s="32" t="n"/>
      <c r="J6" s="33" t="n"/>
      <c r="K6" s="32" t="n"/>
      <c r="L6" s="33" t="n"/>
    </row>
    <row r="9" ht="15" customHeight="1">
      <c r="A9" s="2" t="inlineStr">
        <is>
          <t>Gap Type</t>
        </is>
      </c>
      <c r="B9" s="2" t="inlineStr">
        <is>
          <t>Severity</t>
        </is>
      </c>
      <c r="C9" s="2" t="inlineStr">
        <is>
          <t>Open Count</t>
        </is>
      </c>
      <c r="D9" s="2" t="inlineStr">
        <is>
          <t>Formula Basis</t>
        </is>
      </c>
      <c r="F9" s="2" t="inlineStr">
        <is>
          <t>Severity</t>
        </is>
      </c>
      <c r="G9" s="2" t="inlineStr">
        <is>
          <t>Patient Count</t>
        </is>
      </c>
      <c r="H9" s="2" t="inlineStr">
        <is>
          <t>Open Gap Count</t>
        </is>
      </c>
    </row>
    <row r="10" ht="28.5" customHeight="1">
      <c r="A10" s="14" t="inlineStr">
        <is>
          <t>Bone Scan / SPECT missing</t>
        </is>
      </c>
      <c r="B10" s="14" t="inlineStr">
        <is>
          <t>Urgent</t>
        </is>
      </c>
      <c r="C10" s="3">
        <f>SUM(Care_Gap_Tracker!$M$5:$M$104)</f>
        <v/>
      </c>
      <c r="D10" s="14" t="inlineStr">
        <is>
          <t>High / very high / M1 with Bone Scan = Not done</t>
        </is>
      </c>
      <c r="F10" s="14" t="inlineStr">
        <is>
          <t>Urgent</t>
        </is>
      </c>
      <c r="G10" s="3">
        <f>COUNTIF(Care_Gap_Tracker!$U$5:$U$104,"&gt;0")</f>
        <v/>
      </c>
      <c r="H10" s="3">
        <f>SUM(Care_Gap_Tracker!$U$5:$U$104)</f>
        <v/>
      </c>
    </row>
    <row r="11">
      <c r="A11" s="14" t="inlineStr">
        <is>
          <t>PSMA PET-CT missing</t>
        </is>
      </c>
      <c r="B11" s="14" t="inlineStr">
        <is>
          <t>Urgent</t>
        </is>
      </c>
      <c r="C11" s="3">
        <f>SUM(Care_Gap_Tracker!$N$5:$N$104)</f>
        <v/>
      </c>
      <c r="D11" s="14" t="inlineStr">
        <is>
          <t>High / very high with PSMA = Not done</t>
        </is>
      </c>
      <c r="F11" s="14" t="inlineStr">
        <is>
          <t>Warning</t>
        </is>
      </c>
      <c r="G11" s="3">
        <f>COUNTIF(Care_Gap_Tracker!$V$5:$V$104,"&gt;0")</f>
        <v/>
      </c>
      <c r="H11" s="3">
        <f>SUM(Care_Gap_Tracker!$V$5:$V$104)</f>
        <v/>
      </c>
    </row>
    <row r="12">
      <c r="A12" s="14" t="inlineStr">
        <is>
          <t>Bone protection not started</t>
        </is>
      </c>
      <c r="B12" s="14" t="inlineStr">
        <is>
          <t>Urgent</t>
        </is>
      </c>
      <c r="C12" s="3">
        <f>SUM(Care_Gap_Tracker!$O$5:$O$104)</f>
        <v/>
      </c>
      <c r="D12" s="14" t="inlineStr">
        <is>
          <t>Bone Protection Therapy = Not started</t>
        </is>
      </c>
      <c r="F12" s="14" t="inlineStr">
        <is>
          <t>Info</t>
        </is>
      </c>
      <c r="G12" s="3">
        <f>COUNTIF(Care_Gap_Tracker!$W$5:$W$104,"&gt;0")</f>
        <v/>
      </c>
      <c r="H12" s="3">
        <f>SUM(Care_Gap_Tracker!$W$5:$W$104)</f>
        <v/>
      </c>
    </row>
    <row r="13">
      <c r="A13" s="14" t="inlineStr">
        <is>
          <t>DEXA not done</t>
        </is>
      </c>
      <c r="B13" s="14" t="inlineStr">
        <is>
          <t>Warning</t>
        </is>
      </c>
      <c r="C13" s="3">
        <f>SUM(Care_Gap_Tracker!$P$5:$P$104)</f>
        <v/>
      </c>
      <c r="D13" s="14" t="inlineStr">
        <is>
          <t>DEXA Bone Density = Not done</t>
        </is>
      </c>
    </row>
    <row r="14">
      <c r="A14" s="14" t="inlineStr">
        <is>
          <t>Genomics not done</t>
        </is>
      </c>
      <c r="B14" s="14" t="inlineStr">
        <is>
          <t>Warning</t>
        </is>
      </c>
      <c r="C14" s="3">
        <f>SUM(Care_Gap_Tracker!$Q$5:$Q$104)</f>
        <v/>
      </c>
      <c r="D14" s="14" t="inlineStr">
        <is>
          <t>Germline / Somatic Testing = Not done</t>
        </is>
      </c>
    </row>
    <row r="15" ht="15" customHeight="1">
      <c r="A15" s="14" t="inlineStr">
        <is>
          <t>ARSI readiness gap</t>
        </is>
      </c>
      <c r="B15" s="14" t="inlineStr">
        <is>
          <t>Warning</t>
        </is>
      </c>
      <c r="C15" s="3">
        <f>SUM(Care_Gap_Tracker!$R$5:$R$104)</f>
        <v/>
      </c>
      <c r="D15" s="14" t="inlineStr">
        <is>
          <t>HSPC + High risk + ARSI = Not initiated</t>
        </is>
      </c>
      <c r="F15" s="2" t="inlineStr">
        <is>
          <t>Operational Metric</t>
        </is>
      </c>
      <c r="G15" s="2" t="inlineStr">
        <is>
          <t>Value</t>
        </is>
      </c>
      <c r="H15" s="2" t="inlineStr">
        <is>
          <t>Formula Basis</t>
        </is>
      </c>
    </row>
    <row r="16" ht="42.75" customHeight="1">
      <c r="A16" s="14" t="inlineStr">
        <is>
          <t>Follow-up PSA not scheduled</t>
        </is>
      </c>
      <c r="B16" s="14" t="inlineStr">
        <is>
          <t>Info</t>
        </is>
      </c>
      <c r="C16" s="3">
        <f>SUM(Care_Gap_Tracker!$S$5:$S$104)</f>
        <v/>
      </c>
      <c r="D16" s="14" t="inlineStr">
        <is>
          <t>Next Follow-up PSA Date blank</t>
        </is>
      </c>
      <c r="F16" s="14" t="inlineStr">
        <is>
          <t>Clinical rows entered</t>
        </is>
      </c>
      <c r="G16" s="3">
        <f>COUNTIF(Clinical_Entry!$A$5:$A$104,"&lt;&gt;")</f>
        <v/>
      </c>
      <c r="H16" s="14" t="inlineStr">
        <is>
          <t>Clinical_Entry patients with unique code</t>
        </is>
      </c>
    </row>
    <row r="17" ht="42.75" customHeight="1">
      <c r="A17" s="14" t="inlineStr">
        <is>
          <t>Psychosocial screening prompt</t>
        </is>
      </c>
      <c r="B17" s="14" t="inlineStr">
        <is>
          <t>Info</t>
        </is>
      </c>
      <c r="C17" s="3">
        <f>SUM(Care_Gap_Tracker!$T$5:$T$104)</f>
        <v/>
      </c>
      <c r="D17" s="14" t="inlineStr">
        <is>
          <t>PHQ-9 blank or Not done</t>
        </is>
      </c>
      <c r="F17" s="14" t="inlineStr">
        <is>
          <t>Treatment rows entered</t>
        </is>
      </c>
      <c r="G17" s="3">
        <f>COUNTIF(Treatment_Entry!$A$5:$A$104,"&lt;&gt;")</f>
        <v/>
      </c>
      <c r="H17" s="14" t="inlineStr">
        <is>
          <t>Treatment_Entry patients with unique code</t>
        </is>
      </c>
    </row>
    <row r="18" ht="28.5" customHeight="1">
      <c r="F18" s="14" t="inlineStr">
        <is>
          <t>PSA entries logged</t>
        </is>
      </c>
      <c r="G18" s="3">
        <f>COUNTIF(PSA_History!$A$5:$A$154,"&lt;&gt;")</f>
        <v/>
      </c>
      <c r="H18" s="14" t="inlineStr">
        <is>
          <t>PSA_History rows with unique code</t>
        </is>
      </c>
    </row>
    <row r="19" ht="42.75" customHeight="1">
      <c r="F19" s="14" t="inlineStr">
        <is>
          <t>Journey events logged</t>
        </is>
      </c>
      <c r="G19" s="3">
        <f>COUNTIF(Journey_Events!$A$5:$A$154,"&lt;&gt;")</f>
        <v/>
      </c>
      <c r="H19" s="14" t="inlineStr">
        <is>
          <t>Journey_Events rows with unique code</t>
        </is>
      </c>
    </row>
    <row r="20" ht="28.5" customHeight="1">
      <c r="F20" s="14" t="inlineStr">
        <is>
          <t>Gap burden per patient</t>
        </is>
      </c>
      <c r="G20" s="4">
        <f>IF(COUNTIF(Demographics_Entry!$A$5:$A$104,"&lt;&gt;")=0,0,SUM(Care_Gap_Tracker!$X$5:$X$104)/COUNTIF(Demographics_Entry!$A$5:$A$104,"&lt;&gt;"))</f>
        <v/>
      </c>
      <c r="H20" s="14" t="inlineStr">
        <is>
          <t>Total open gaps / registered patients</t>
        </is>
      </c>
    </row>
    <row r="21" ht="42.75" customHeight="1">
      <c r="F21" s="14" t="inlineStr">
        <is>
          <t>Patients with any gap %</t>
        </is>
      </c>
      <c r="G21" s="5">
        <f>IF(COUNTIF(Demographics_Entry!$A$5:$A$104,"&lt;&gt;")=0,0,COUNTIF(Care_Gap_Tracker!$X$5:$X$104,"&gt;0")/COUNTIF(Demographics_Entry!$A$5:$A$104,"&lt;&gt;"))</f>
        <v/>
      </c>
      <c r="H21" s="14" t="inlineStr">
        <is>
          <t>Patients with any gap / registered patients</t>
        </is>
      </c>
    </row>
  </sheetData>
  <mergeCells count="14">
    <mergeCell ref="A4:B4"/>
    <mergeCell ref="G4:H4"/>
    <mergeCell ref="A2:L2"/>
    <mergeCell ref="E4:F4"/>
    <mergeCell ref="I4:J4"/>
    <mergeCell ref="A1:L1"/>
    <mergeCell ref="C5:D6"/>
    <mergeCell ref="A5:B6"/>
    <mergeCell ref="G5:H6"/>
    <mergeCell ref="E5:F6"/>
    <mergeCell ref="K5:L6"/>
    <mergeCell ref="I5:J6"/>
    <mergeCell ref="K4:L4"/>
    <mergeCell ref="C4:D4"/>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26"/>
  <sheetViews>
    <sheetView showGridLines="0" zoomScale="90" zoomScaleNormal="90" workbookViewId="0">
      <selection activeCell="A1" sqref="A1:G1"/>
    </sheetView>
  </sheetViews>
  <sheetFormatPr baseColWidth="8" defaultColWidth="8.875" defaultRowHeight="14.25"/>
  <cols>
    <col width="16" customWidth="1" min="1" max="1"/>
    <col width="34" customWidth="1" min="2" max="2"/>
    <col width="20" customWidth="1" min="3" max="3"/>
    <col width="38" customWidth="1" min="4" max="4"/>
    <col width="40" customWidth="1" min="5" max="5"/>
    <col width="28" customWidth="1" min="6" max="6"/>
    <col width="34" customWidth="1" min="7" max="7"/>
  </cols>
  <sheetData>
    <row r="1" ht="15.75" customHeight="1">
      <c r="A1" s="12" t="inlineStr">
        <is>
          <t>Home Dashboard Inventory</t>
        </is>
      </c>
    </row>
    <row r="2">
      <c r="A2" s="13" t="inlineStr">
        <is>
          <t>Inventory of the actual home screen widgets, actions, cards, and operational lists. This tab is documentation/specification: it explains what the home surface shows and what dataset or logic drives it.</t>
        </is>
      </c>
    </row>
    <row r="4" ht="15" customHeight="1">
      <c r="A4" s="2" t="inlineStr">
        <is>
          <t>Zone</t>
        </is>
      </c>
      <c r="B4" s="2" t="inlineStr">
        <is>
          <t>Widget / Feature</t>
        </is>
      </c>
      <c r="C4" s="2" t="inlineStr">
        <is>
          <t>Surface Type</t>
        </is>
      </c>
      <c r="D4" s="2" t="inlineStr">
        <is>
          <t>What It Shows</t>
        </is>
      </c>
      <c r="E4" s="2" t="inlineStr">
        <is>
          <t>Primary Driver</t>
        </is>
      </c>
      <c r="F4" s="2" t="inlineStr">
        <is>
          <t>Action / Drilldown</t>
        </is>
      </c>
      <c r="G4" s="2" t="inlineStr">
        <is>
          <t>Implementation Notes</t>
        </is>
      </c>
    </row>
    <row r="5" ht="28.5" customHeight="1">
      <c r="A5" s="14" t="inlineStr">
        <is>
          <t>Header</t>
        </is>
      </c>
      <c r="B5" s="14" t="inlineStr">
        <is>
          <t>Doctor welcome + cohort chips</t>
        </is>
      </c>
      <c r="C5" s="14" t="inlineStr">
        <is>
          <t>Context header</t>
        </is>
      </c>
      <c r="D5" s="14" t="inlineStr">
        <is>
          <t>Doctor identity, role, department, hospital, cohort count, active care-gap count</t>
        </is>
      </c>
      <c r="E5" s="14" t="inlineStr">
        <is>
          <t>Logged-in user context + cohort counts</t>
        </is>
      </c>
      <c r="F5" s="14" t="inlineStr">
        <is>
          <t>Links to overview and quality dashboard sections</t>
        </is>
      </c>
      <c r="G5" s="14" t="inlineStr">
        <is>
          <t>This is the operational launch point for start-of-day triage.</t>
        </is>
      </c>
    </row>
    <row r="6" ht="28.5" customHeight="1">
      <c r="A6" s="14" t="inlineStr">
        <is>
          <t>At a glance</t>
        </is>
      </c>
      <c r="B6" s="14" t="inlineStr">
        <is>
          <t>Department at a glance</t>
        </is>
      </c>
      <c r="C6" s="14" t="inlineStr">
        <is>
          <t>4-metric summary card</t>
        </is>
      </c>
      <c r="D6" s="14" t="inlineStr">
        <is>
          <t>Last visit, upcoming, missed/overdue, population alerts</t>
        </is>
      </c>
      <c r="E6" s="14" t="inlineStr">
        <is>
          <t>Visit-status counts + insight-card counts</t>
        </is>
      </c>
      <c r="F6" s="14" t="inlineStr">
        <is>
          <t>No separate drilldown; supports quick situational scan</t>
        </is>
      </c>
      <c r="G6" s="14" t="inlineStr">
        <is>
          <t>Maps to the PRD home / welcome screen.</t>
        </is>
      </c>
    </row>
    <row r="7" ht="28.5" customHeight="1">
      <c r="A7" s="14" t="inlineStr">
        <is>
          <t>Action card</t>
        </is>
      </c>
      <c r="B7" s="14" t="inlineStr">
        <is>
          <t>AI Buddy</t>
        </is>
      </c>
      <c r="C7" s="14" t="inlineStr">
        <is>
          <t>Guided action card</t>
        </is>
      </c>
      <c r="D7" s="14" t="inlineStr">
        <is>
          <t>Step-by-step pathway review</t>
        </is>
      </c>
      <c r="E7" s="14" t="inlineStr">
        <is>
          <t>Structured record + rule packs + practice logs + retrospective signals + access rules</t>
        </is>
      </c>
      <c r="F7" s="14" t="inlineStr">
        <is>
          <t>Opens AI Buddy overlay</t>
        </is>
      </c>
      <c r="G7" s="14" t="inlineStr">
        <is>
          <t>Workflow feature, not a row-based data-entry table.</t>
        </is>
      </c>
    </row>
    <row r="8" ht="28.5" customHeight="1">
      <c r="A8" s="14" t="inlineStr">
        <is>
          <t>Action card</t>
        </is>
      </c>
      <c r="B8" s="14" t="inlineStr">
        <is>
          <t>Open Patient File</t>
        </is>
      </c>
      <c r="C8" s="14" t="inlineStr">
        <is>
          <t>Action card</t>
        </is>
      </c>
      <c r="D8" s="14" t="inlineStr">
        <is>
          <t>Department roster and patient queue</t>
        </is>
      </c>
      <c r="E8" s="14" t="inlineStr">
        <is>
          <t>Patient list, visit status, search</t>
        </is>
      </c>
      <c r="F8" s="14" t="inlineStr">
        <is>
          <t>Opens patient list</t>
        </is>
      </c>
      <c r="G8" s="14" t="inlineStr">
        <is>
          <t>Operational entry point rather than cohort analytics.</t>
        </is>
      </c>
    </row>
    <row r="9">
      <c r="A9" s="14" t="inlineStr">
        <is>
          <t>Action card</t>
        </is>
      </c>
      <c r="B9" s="14" t="inlineStr">
        <is>
          <t>Go to Dashboard</t>
        </is>
      </c>
      <c r="C9" s="14" t="inlineStr">
        <is>
          <t>Action card</t>
        </is>
      </c>
      <c r="D9" s="14" t="inlineStr">
        <is>
          <t>Population charts and insight cards</t>
        </is>
      </c>
      <c r="E9" s="14" t="inlineStr">
        <is>
          <t>Population analytics dataset</t>
        </is>
      </c>
      <c r="F9" s="14" t="inlineStr">
        <is>
          <t>Opens population dashboard</t>
        </is>
      </c>
      <c r="G9" s="14" t="inlineStr">
        <is>
          <t>Direct route to full analytics surface.</t>
        </is>
      </c>
    </row>
    <row r="10" ht="28.5" customHeight="1">
      <c r="A10" s="14" t="inlineStr">
        <is>
          <t>Action card</t>
        </is>
      </c>
      <c r="B10" s="14" t="inlineStr">
        <is>
          <t>Review Missed and High-Priority Patients</t>
        </is>
      </c>
      <c r="C10" s="14" t="inlineStr">
        <is>
          <t>Action card</t>
        </is>
      </c>
      <c r="D10" s="14" t="inlineStr">
        <is>
          <t>Flagged critical and recommendation patients</t>
        </is>
      </c>
      <c r="E10" s="14" t="inlineStr">
        <is>
          <t>Care-gap severity + urgent roster logic</t>
        </is>
      </c>
      <c r="F10" s="14" t="inlineStr">
        <is>
          <t>Scrolls to surfaced attention section</t>
        </is>
      </c>
      <c r="G10" s="14" t="inlineStr">
        <is>
          <t>Home triage shortcut.</t>
        </is>
      </c>
    </row>
    <row r="11" ht="28.5" customHeight="1">
      <c r="A11" s="14" t="inlineStr">
        <is>
          <t>Action card</t>
        </is>
      </c>
      <c r="B11" s="14" t="inlineStr">
        <is>
          <t>Review Care Gaps</t>
        </is>
      </c>
      <c r="C11" s="14" t="inlineStr">
        <is>
          <t>Action card</t>
        </is>
      </c>
      <c r="D11" s="14" t="inlineStr">
        <is>
          <t>Quality &amp; gaps view</t>
        </is>
      </c>
      <c r="E11" s="14" t="inlineStr">
        <is>
          <t>Care-gap engine</t>
        </is>
      </c>
      <c r="F11" s="14" t="inlineStr">
        <is>
          <t>Opens quality section in population dashboard</t>
        </is>
      </c>
      <c r="G11" s="14" t="inlineStr">
        <is>
          <t>Uses the same underlying nudge logic as the patient file.</t>
        </is>
      </c>
    </row>
    <row r="12" ht="28.5" customHeight="1">
      <c r="A12" s="14" t="inlineStr">
        <is>
          <t>Action card</t>
        </is>
      </c>
      <c r="B12" s="14" t="inlineStr">
        <is>
          <t>Add New Patient</t>
        </is>
      </c>
      <c r="C12" s="14" t="inlineStr">
        <is>
          <t>Action card</t>
        </is>
      </c>
      <c r="D12" s="14" t="inlineStr">
        <is>
          <t>New registry entry</t>
        </is>
      </c>
      <c r="E12" s="14" t="inlineStr">
        <is>
          <t>Patient onboarding workflow</t>
        </is>
      </c>
      <c r="F12" s="14" t="inlineStr">
        <is>
          <t>Opens patient file in new-patient mode</t>
        </is>
      </c>
      <c r="G12" s="14" t="inlineStr">
        <is>
          <t>Workflow control, not analytics.</t>
        </is>
      </c>
    </row>
    <row r="13" ht="42.75" customHeight="1">
      <c r="A13" s="14" t="inlineStr">
        <is>
          <t>Cohort health</t>
        </is>
      </c>
      <c r="B13" s="14" t="inlineStr">
        <is>
          <t>Protocol adherence score</t>
        </is>
      </c>
      <c r="C13" s="14" t="inlineStr">
        <is>
          <t>KPI card + progress bar</t>
        </is>
      </c>
      <c r="D13" s="14" t="inlineStr">
        <is>
          <t>Overall cohort protocol score</t>
        </is>
      </c>
      <c r="E13" s="14" t="inlineStr">
        <is>
          <t>Composite rule adherence calculation</t>
        </is>
      </c>
      <c r="F13" s="14" t="inlineStr">
        <is>
          <t>Home drilldown modal</t>
        </is>
      </c>
      <c r="G13" s="14" t="inlineStr">
        <is>
          <t>The score driver text explicitly references bone protection and PSMA staging gaps.</t>
        </is>
      </c>
    </row>
    <row r="14">
      <c r="A14" s="14" t="inlineStr">
        <is>
          <t>Cohort health</t>
        </is>
      </c>
      <c r="B14" s="14" t="inlineStr">
        <is>
          <t>Open care gaps</t>
        </is>
      </c>
      <c r="C14" s="14" t="inlineStr">
        <is>
          <t>KPI card + sparkline</t>
        </is>
      </c>
      <c r="D14" s="14" t="inlineStr">
        <is>
          <t>Total active care gaps</t>
        </is>
      </c>
      <c r="E14" s="14" t="inlineStr">
        <is>
          <t>Open nudge / gap count</t>
        </is>
      </c>
      <c r="F14" s="14" t="inlineStr">
        <is>
          <t>Home drilldown modal</t>
        </is>
      </c>
      <c r="G14" s="14" t="inlineStr">
        <is>
          <t>Trend compared month-on-month.</t>
        </is>
      </c>
    </row>
    <row r="15" ht="28.5" customHeight="1">
      <c r="A15" s="14" t="inlineStr">
        <is>
          <t>Cohort health</t>
        </is>
      </c>
      <c r="B15" s="14" t="inlineStr">
        <is>
          <t>Record completeness</t>
        </is>
      </c>
      <c r="C15" s="14" t="inlineStr">
        <is>
          <t>KPI card + sparkline</t>
        </is>
      </c>
      <c r="D15" s="14" t="inlineStr">
        <is>
          <t>Fully entered records vs total</t>
        </is>
      </c>
      <c r="E15" s="14" t="inlineStr">
        <is>
          <t>Field-group completeness</t>
        </is>
      </c>
      <c r="F15" s="14" t="inlineStr">
        <is>
          <t>Home drilldown modal</t>
        </is>
      </c>
      <c r="G15" s="14" t="inlineStr">
        <is>
          <t>Requires completeness logic across patient sections.</t>
        </is>
      </c>
    </row>
    <row r="16">
      <c r="A16" s="14" t="inlineStr">
        <is>
          <t>Cohort health</t>
        </is>
      </c>
      <c r="B16" s="14" t="inlineStr">
        <is>
          <t>New registrations</t>
        </is>
      </c>
      <c r="C16" s="14" t="inlineStr">
        <is>
          <t>KPI card + sparkline</t>
        </is>
      </c>
      <c r="D16" s="14" t="inlineStr">
        <is>
          <t>New patients this month</t>
        </is>
      </c>
      <c r="E16" s="14" t="inlineStr">
        <is>
          <t>Registry enrolment date</t>
        </is>
      </c>
      <c r="F16" s="14" t="inlineStr">
        <is>
          <t>Home drilldown modal</t>
        </is>
      </c>
      <c r="G16" s="14" t="inlineStr">
        <is>
          <t>Now modeled explicitly in the workbook.</t>
        </is>
      </c>
    </row>
    <row r="17" ht="28.5" customHeight="1">
      <c r="A17" s="14" t="inlineStr">
        <is>
          <t>Benchmarks</t>
        </is>
      </c>
      <c r="B17" s="14" t="inlineStr">
        <is>
          <t>ARSI intensification</t>
        </is>
      </c>
      <c r="C17" s="14" t="inlineStr">
        <is>
          <t>Benchmark card</t>
        </is>
      </c>
      <c r="D17" s="14" t="inlineStr">
        <is>
          <t>Cohort vs NCCN benchmark</t>
        </is>
      </c>
      <c r="E17" s="14" t="inlineStr">
        <is>
          <t>Eligible HSPC / high-risk subgroup + ARSI status</t>
        </is>
      </c>
      <c r="F17" s="14" t="inlineStr">
        <is>
          <t>Home drilldown modal</t>
        </is>
      </c>
      <c r="G17" s="14" t="inlineStr">
        <is>
          <t>One of the benchmark cards surfaced on home.</t>
        </is>
      </c>
    </row>
    <row r="18">
      <c r="A18" s="14" t="inlineStr">
        <is>
          <t>Benchmarks</t>
        </is>
      </c>
      <c r="B18" s="14" t="inlineStr">
        <is>
          <t>PSMA PET-CT (high risk)</t>
        </is>
      </c>
      <c r="C18" s="14" t="inlineStr">
        <is>
          <t>Benchmark card</t>
        </is>
      </c>
      <c r="D18" s="14" t="inlineStr">
        <is>
          <t>Cohort vs NCCN benchmark</t>
        </is>
      </c>
      <c r="E18" s="14" t="inlineStr">
        <is>
          <t>High-risk patients + PSMA status</t>
        </is>
      </c>
      <c r="F18" s="14" t="inlineStr">
        <is>
          <t>Home drilldown modal</t>
        </is>
      </c>
      <c r="G18" s="14" t="inlineStr">
        <is>
          <t>Uses staging completeness logic.</t>
        </is>
      </c>
    </row>
    <row r="19" ht="28.5" customHeight="1">
      <c r="A19" s="14" t="inlineStr">
        <is>
          <t>Benchmarks</t>
        </is>
      </c>
      <c r="B19" s="14" t="inlineStr">
        <is>
          <t>Bone protection on ADT</t>
        </is>
      </c>
      <c r="C19" s="14" t="inlineStr">
        <is>
          <t>Benchmark card</t>
        </is>
      </c>
      <c r="D19" s="14" t="inlineStr">
        <is>
          <t>Cohort vs NCCN benchmark</t>
        </is>
      </c>
      <c r="E19" s="14" t="inlineStr">
        <is>
          <t>ADT cohort + bone health treatment/supportive care fields</t>
        </is>
      </c>
      <c r="F19" s="14" t="inlineStr">
        <is>
          <t>Home drilldown modal</t>
        </is>
      </c>
      <c r="G19" s="14" t="inlineStr">
        <is>
          <t>Directly tied to the largest cohort care gap in the demo.</t>
        </is>
      </c>
    </row>
    <row r="20" ht="28.5" customHeight="1">
      <c r="A20" s="14" t="inlineStr">
        <is>
          <t>Benchmarks</t>
        </is>
      </c>
      <c r="B20" s="14" t="inlineStr">
        <is>
          <t>MDT review rate</t>
        </is>
      </c>
      <c r="C20" s="14" t="inlineStr">
        <is>
          <t>Benchmark card</t>
        </is>
      </c>
      <c r="D20" s="14" t="inlineStr">
        <is>
          <t>Cohort vs NCCN benchmark</t>
        </is>
      </c>
      <c r="E20" s="14" t="inlineStr">
        <is>
          <t>MDT status + review date</t>
        </is>
      </c>
      <c r="F20" s="14" t="inlineStr">
        <is>
          <t>Home drilldown modal</t>
        </is>
      </c>
      <c r="G20" s="14" t="inlineStr">
        <is>
          <t>Supports governance / multidisciplinary quality checks.</t>
        </is>
      </c>
    </row>
    <row r="21" ht="28.5" customHeight="1">
      <c r="A21" s="14" t="inlineStr">
        <is>
          <t>Quality trend</t>
        </is>
      </c>
      <c r="B21" s="14" t="inlineStr">
        <is>
          <t>Nudge trend analysis</t>
        </is>
      </c>
      <c r="C21" s="14" t="inlineStr">
        <is>
          <t>Stacked bars + line</t>
        </is>
      </c>
      <c r="D21" s="14" t="inlineStr">
        <is>
          <t>Opened, viewed, acted upon, resolved, net active</t>
        </is>
      </c>
      <c r="E21" s="14" t="inlineStr">
        <is>
          <t>Historical nudge lifecycle log</t>
        </is>
      </c>
      <c r="F21" s="14" t="inlineStr">
        <is>
          <t>Opens quality view</t>
        </is>
      </c>
      <c r="G21" s="14" t="inlineStr">
        <is>
          <t>Not fully derivable from one-row patient data alone; requires event history.</t>
        </is>
      </c>
    </row>
    <row r="22" ht="28.5" customHeight="1">
      <c r="A22" s="14" t="inlineStr">
        <is>
          <t>Attention</t>
        </is>
      </c>
      <c r="B22" s="14" t="inlineStr">
        <is>
          <t>Surfaced critical / recommendation patients</t>
        </is>
      </c>
      <c r="C22" s="14" t="inlineStr">
        <is>
          <t>Patient flag cards</t>
        </is>
      </c>
      <c r="D22" s="14" t="inlineStr">
        <is>
          <t>Surfaced cases requiring follow-up</t>
        </is>
      </c>
      <c r="E22" s="14" t="inlineStr">
        <is>
          <t>Gap severity + patient summary facts</t>
        </is>
      </c>
      <c r="F22" s="14" t="inlineStr">
        <is>
          <t>Open patient file</t>
        </is>
      </c>
      <c r="G22" s="14" t="inlineStr">
        <is>
          <t>Operational list rather than chart.</t>
        </is>
      </c>
    </row>
    <row r="23" ht="28.5" customHeight="1">
      <c r="A23" s="14" t="inlineStr">
        <is>
          <t>Attention</t>
        </is>
      </c>
      <c r="B23" s="14" t="inlineStr">
        <is>
          <t>Insight of the day</t>
        </is>
      </c>
      <c r="C23" s="14" t="inlineStr">
        <is>
          <t>Insight card</t>
        </is>
      </c>
      <c r="D23" s="14" t="inlineStr">
        <is>
          <t>Auto-generated cohort insight</t>
        </is>
      </c>
      <c r="E23" s="14" t="inlineStr">
        <is>
          <t>Aggregated cohort statistics</t>
        </is>
      </c>
      <c r="F23" s="14" t="inlineStr">
        <is>
          <t>Open quality dashboard</t>
        </is>
      </c>
      <c r="G23" s="14" t="inlineStr">
        <is>
          <t>Statistical insighting, not free-text charting.</t>
        </is>
      </c>
    </row>
    <row r="24" ht="28.5" customHeight="1">
      <c r="A24" s="14" t="inlineStr">
        <is>
          <t>Attention</t>
        </is>
      </c>
      <c r="B24" s="14" t="inlineStr">
        <is>
          <t>Care gap breakdown</t>
        </is>
      </c>
      <c r="C24" s="14" t="inlineStr">
        <is>
          <t>Ranked list</t>
        </is>
      </c>
      <c r="D24" s="14" t="inlineStr">
        <is>
          <t>Most common care gaps with counts</t>
        </is>
      </c>
      <c r="E24" s="14" t="inlineStr">
        <is>
          <t>Care-gap engine aggregation</t>
        </is>
      </c>
      <c r="F24" s="14" t="inlineStr">
        <is>
          <t>Open quality dashboard</t>
        </is>
      </c>
      <c r="G24" s="14" t="inlineStr">
        <is>
          <t>Home summary of the larger quality section.</t>
        </is>
      </c>
    </row>
    <row r="25" ht="28.5" customHeight="1">
      <c r="A25" s="14" t="inlineStr">
        <is>
          <t>Review</t>
        </is>
      </c>
      <c r="B25" s="14" t="inlineStr">
        <is>
          <t>Recently viewed patients</t>
        </is>
      </c>
      <c r="C25" s="14" t="inlineStr">
        <is>
          <t>Activity list</t>
        </is>
      </c>
      <c r="D25" s="14" t="inlineStr">
        <is>
          <t>Recently opened patient files</t>
        </is>
      </c>
      <c r="E25" s="14" t="inlineStr">
        <is>
          <t>User activity history</t>
        </is>
      </c>
      <c r="F25" s="14" t="inlineStr">
        <is>
          <t>Open patient file</t>
        </is>
      </c>
      <c r="G25" s="14" t="inlineStr">
        <is>
          <t>Per-user productivity convenience feature.</t>
        </is>
      </c>
    </row>
    <row r="26" ht="28.5" customHeight="1">
      <c r="A26" s="14" t="inlineStr">
        <is>
          <t>Review</t>
        </is>
      </c>
      <c r="B26" s="14" t="inlineStr">
        <is>
          <t>Incomplete records — data entry pending</t>
        </is>
      </c>
      <c r="C26" s="14" t="inlineStr">
        <is>
          <t>Operational list</t>
        </is>
      </c>
      <c r="D26" s="14" t="inlineStr">
        <is>
          <t>Patients missing key fields</t>
        </is>
      </c>
      <c r="E26" s="14" t="inlineStr">
        <is>
          <t>Completeness rules by patient</t>
        </is>
      </c>
      <c r="F26" s="14" t="inlineStr">
        <is>
          <t>Open patient list</t>
        </is>
      </c>
      <c r="G26" s="14" t="inlineStr">
        <is>
          <t>Important for registrar / coordinator workflows.</t>
        </is>
      </c>
    </row>
  </sheetData>
  <mergeCells count="2">
    <mergeCell ref="A2:G2"/>
    <mergeCell ref="A1:G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46"/>
  <sheetViews>
    <sheetView showGridLines="0" zoomScale="80" zoomScaleNormal="80" workbookViewId="0">
      <selection activeCell="A1" sqref="A1:J1"/>
    </sheetView>
  </sheetViews>
  <sheetFormatPr baseColWidth="8" defaultColWidth="8.875" defaultRowHeight="14.25"/>
  <cols>
    <col width="14" customWidth="1" min="1" max="1"/>
    <col width="16" customWidth="1" min="2" max="2"/>
    <col width="34" customWidth="1" min="3" max="3"/>
    <col width="18" customWidth="1" min="4" max="4"/>
    <col width="14" customWidth="1" min="5" max="5"/>
    <col width="30" customWidth="1" min="6" max="6"/>
    <col width="34" customWidth="1" min="7" max="7"/>
    <col width="28" customWidth="1" min="8" max="8"/>
    <col width="38" customWidth="1" min="9" max="9"/>
    <col width="34" customWidth="1" min="10" max="10"/>
  </cols>
  <sheetData>
    <row r="1" ht="15.75" customHeight="1">
      <c r="A1" s="12" t="inlineStr">
        <is>
          <t>Population Dashboard Inventory</t>
        </is>
      </c>
    </row>
    <row r="2">
      <c r="A2" s="13" t="inlineStr">
        <is>
          <t>Full map of the actual analytics dashboard in population-analytics.html. Each row represents a KPI card, chart, funnel, or section-level analytic surface with its filter scope, drilldown behavior, and required data.</t>
        </is>
      </c>
    </row>
    <row r="4" ht="15" customHeight="1">
      <c r="A4" s="2" t="inlineStr">
        <is>
          <t>Section</t>
        </is>
      </c>
      <c r="B4" s="2" t="inlineStr">
        <is>
          <t>Widget ID</t>
        </is>
      </c>
      <c r="C4" s="2" t="inlineStr">
        <is>
          <t>Widget / Chart</t>
        </is>
      </c>
      <c r="D4" s="2" t="inlineStr">
        <is>
          <t>Type</t>
        </is>
      </c>
      <c r="E4" s="2" t="inlineStr">
        <is>
          <t>Time Filters</t>
        </is>
      </c>
      <c r="F4" s="2" t="inlineStr">
        <is>
          <t>Primary Measure</t>
        </is>
      </c>
      <c r="G4" s="2" t="inlineStr">
        <is>
          <t>Buckets / Segments</t>
        </is>
      </c>
      <c r="H4" s="2" t="inlineStr">
        <is>
          <t>Drilldown / Interaction</t>
        </is>
      </c>
      <c r="I4" s="2" t="inlineStr">
        <is>
          <t>Current Workbook Source</t>
        </is>
      </c>
      <c r="J4" s="2" t="inlineStr">
        <is>
          <t>Extra Derivation / Notes</t>
        </is>
      </c>
    </row>
    <row r="5" ht="42.75" customHeight="1">
      <c r="A5" s="14" t="inlineStr">
        <is>
          <t>Overview</t>
        </is>
      </c>
      <c r="B5" s="14" t="inlineStr">
        <is>
          <t>snapshot</t>
        </is>
      </c>
      <c r="C5" s="14" t="inlineStr">
        <is>
          <t>Sidebar snapshot</t>
        </is>
      </c>
      <c r="D5" s="14" t="inlineStr">
        <is>
          <t>Summary metrics</t>
        </is>
      </c>
      <c r="E5" s="14" t="inlineStr">
        <is>
          <t>3M / 1Y / All time</t>
        </is>
      </c>
      <c r="F5" s="14" t="inlineStr">
        <is>
          <t>High/VH Risk, Active ADT, ARSI Intensified, Care Gaps Open, Median PSA, Protocol Score</t>
        </is>
      </c>
      <c r="G5" s="14" t="inlineStr">
        <is>
          <t>None</t>
        </is>
      </c>
      <c r="H5" s="14" t="inlineStr">
        <is>
          <t>Persistent sidebar state</t>
        </is>
      </c>
      <c r="I5" s="14" t="inlineStr">
        <is>
          <t>Clinical_Entry risk + Treatment_Entry + Care_Gap_Tracker + PSA_History</t>
        </is>
      </c>
      <c r="J5" s="14" t="inlineStr">
        <is>
          <t>Median/latest logic and protocol score are derived</t>
        </is>
      </c>
    </row>
    <row r="6" ht="28.5" customHeight="1">
      <c r="A6" s="14" t="inlineStr">
        <is>
          <t>Overview</t>
        </is>
      </c>
      <c r="B6" s="14" t="inlineStr">
        <is>
          <t>overview-kpis</t>
        </is>
      </c>
      <c r="C6" s="14" t="inlineStr">
        <is>
          <t>Total Patients / High-VH Risk / Median PSA / Active ADT / Protocol Score</t>
        </is>
      </c>
      <c r="D6" s="14" t="inlineStr">
        <is>
          <t>KPI row</t>
        </is>
      </c>
      <c r="E6" s="14" t="inlineStr">
        <is>
          <t>3M / 1Y / All time</t>
        </is>
      </c>
      <c r="F6" s="14" t="inlineStr">
        <is>
          <t>Cohort volume and top-line performance</t>
        </is>
      </c>
      <c r="G6" s="14" t="inlineStr">
        <is>
          <t>Five KPI cards</t>
        </is>
      </c>
      <c r="H6" s="14" t="inlineStr">
        <is>
          <t>No chart drilldown; section-level anchors</t>
        </is>
      </c>
      <c r="I6" s="14" t="inlineStr">
        <is>
          <t>Demographics_Entry, Clinical_Entry, Treatment_Entry, PSA_History</t>
        </is>
      </c>
      <c r="J6" s="14" t="inlineStr">
        <is>
          <t>Protocol score is composite</t>
        </is>
      </c>
    </row>
    <row r="7" ht="28.5" customHeight="1">
      <c r="A7" s="14" t="inlineStr">
        <is>
          <t>Overview</t>
        </is>
      </c>
      <c r="B7" s="14" t="inlineStr">
        <is>
          <t>c-reg</t>
        </is>
      </c>
      <c r="C7" s="14" t="inlineStr">
        <is>
          <t>Monthly registrations + cumulative cohort</t>
        </is>
      </c>
      <c r="D7" s="14" t="inlineStr">
        <is>
          <t>Bar + line</t>
        </is>
      </c>
      <c r="E7" s="14" t="inlineStr">
        <is>
          <t>3M / 1Y / All time</t>
        </is>
      </c>
      <c r="F7" s="14" t="inlineStr">
        <is>
          <t>Monthly new patients and cumulative cohort</t>
        </is>
      </c>
      <c r="G7" s="14" t="inlineStr">
        <is>
          <t>Month buckets</t>
        </is>
      </c>
      <c r="H7" s="14" t="inlineStr">
        <is>
          <t>Click month to patient list</t>
        </is>
      </c>
      <c r="I7" s="14" t="inlineStr">
        <is>
          <t>Demographics_Entry.registry_enrolment_date</t>
        </is>
      </c>
      <c r="J7" s="14" t="inlineStr">
        <is>
          <t>Needs period bucket derivation</t>
        </is>
      </c>
    </row>
    <row r="8" ht="28.5" customHeight="1">
      <c r="A8" s="14" t="inlineStr">
        <is>
          <t>Overview</t>
        </is>
      </c>
      <c r="B8" s="14" t="inlineStr">
        <is>
          <t>c-risk</t>
        </is>
      </c>
      <c r="C8" s="14" t="inlineStr">
        <is>
          <t>Risk distribution</t>
        </is>
      </c>
      <c r="D8" s="14" t="inlineStr">
        <is>
          <t>Donut</t>
        </is>
      </c>
      <c r="E8" s="14" t="inlineStr">
        <is>
          <t>3M / 1Y / All time</t>
        </is>
      </c>
      <c r="F8" s="14" t="inlineStr">
        <is>
          <t>Risk mix</t>
        </is>
      </c>
      <c r="G8" s="14" t="inlineStr">
        <is>
          <t>Low, intermediate, high, very high / locally advanced, metastatic</t>
        </is>
      </c>
      <c r="H8" s="14" t="inlineStr">
        <is>
          <t>Click segment to patient list</t>
        </is>
      </c>
      <c r="I8" s="14" t="inlineStr">
        <is>
          <t>Clinical_Entry.eau_risk_category</t>
        </is>
      </c>
      <c r="J8" s="14" t="inlineStr">
        <is>
          <t>Requires normalized risk grouping</t>
        </is>
      </c>
    </row>
    <row r="9" ht="28.5" customHeight="1">
      <c r="A9" s="14" t="inlineStr">
        <is>
          <t>Overview</t>
        </is>
      </c>
      <c r="B9" s="14" t="inlineStr">
        <is>
          <t>c-age</t>
        </is>
      </c>
      <c r="C9" s="14" t="inlineStr">
        <is>
          <t>Age at diagnosis</t>
        </is>
      </c>
      <c r="D9" s="14" t="inlineStr">
        <is>
          <t>Histogram</t>
        </is>
      </c>
      <c r="E9" s="14" t="inlineStr">
        <is>
          <t>3M / 1Y / All time</t>
        </is>
      </c>
      <c r="F9" s="14" t="inlineStr">
        <is>
          <t>Age distribution</t>
        </is>
      </c>
      <c r="G9" s="14" t="inlineStr">
        <is>
          <t>Age bands</t>
        </is>
      </c>
      <c r="H9" s="14" t="inlineStr">
        <is>
          <t>Click bar to patient list</t>
        </is>
      </c>
      <c r="I9" s="14" t="inlineStr">
        <is>
          <t>Demographics_Entry.age_at_diagnosis_years</t>
        </is>
      </c>
      <c r="J9" s="14" t="inlineStr">
        <is>
          <t>Age is captured directly as a de-identified field</t>
        </is>
      </c>
    </row>
    <row r="10" ht="28.5" customHeight="1">
      <c r="A10" s="14" t="inlineStr">
        <is>
          <t>Overview</t>
        </is>
      </c>
      <c r="B10" s="14" t="inlineStr">
        <is>
          <t>c-cov</t>
        </is>
      </c>
      <c r="C10" s="14" t="inlineStr">
        <is>
          <t>Healthcare coverage</t>
        </is>
      </c>
      <c r="D10" s="14" t="inlineStr">
        <is>
          <t>Donut</t>
        </is>
      </c>
      <c r="E10" s="14" t="inlineStr">
        <is>
          <t>3M / 1Y / All time</t>
        </is>
      </c>
      <c r="F10" s="14" t="inlineStr">
        <is>
          <t>Coverage mix</t>
        </is>
      </c>
      <c r="G10" s="14" t="inlineStr">
        <is>
          <t>CGHS, PMJAY, ESIC, Private, Self-pay</t>
        </is>
      </c>
      <c r="H10" s="14" t="inlineStr">
        <is>
          <t>Legend-only in demo</t>
        </is>
      </c>
      <c r="I10" s="14" t="inlineStr">
        <is>
          <t>Demographics_Entry.healthcare_coverage</t>
        </is>
      </c>
      <c r="J10" s="14" t="inlineStr">
        <is>
          <t>May need normalized grouping</t>
        </is>
      </c>
    </row>
    <row r="11" ht="28.5" customHeight="1">
      <c r="A11" s="14" t="inlineStr">
        <is>
          <t>Overview</t>
        </is>
      </c>
      <c r="B11" s="14" t="inlineStr">
        <is>
          <t>c-stage</t>
        </is>
      </c>
      <c r="C11" s="14" t="inlineStr">
        <is>
          <t>Stage at presentation</t>
        </is>
      </c>
      <c r="D11" s="14" t="inlineStr">
        <is>
          <t>Bar</t>
        </is>
      </c>
      <c r="E11" s="14" t="inlineStr">
        <is>
          <t>3M / 1Y / All time</t>
        </is>
      </c>
      <c r="F11" s="14" t="inlineStr">
        <is>
          <t>Stage distribution</t>
        </is>
      </c>
      <c r="G11" s="14" t="inlineStr">
        <is>
          <t>cT / N / M grouped presentation buckets</t>
        </is>
      </c>
      <c r="H11" s="14" t="inlineStr">
        <is>
          <t>Click bar to patient list</t>
        </is>
      </c>
      <c r="I11" s="14" t="inlineStr">
        <is>
          <t>Clinical_Entry.clinical_t_stage, n_stage, m_stage</t>
        </is>
      </c>
      <c r="J11" s="14" t="inlineStr">
        <is>
          <t>Needs stage bucket derivation</t>
        </is>
      </c>
    </row>
    <row r="12" ht="28.5" customHeight="1">
      <c r="A12" s="14" t="inlineStr">
        <is>
          <t>Clinical</t>
        </is>
      </c>
      <c r="B12" s="14" t="inlineStr">
        <is>
          <t>c-psadx</t>
        </is>
      </c>
      <c r="C12" s="14" t="inlineStr">
        <is>
          <t>PSA at diagnosis — distribution</t>
        </is>
      </c>
      <c r="D12" s="14" t="inlineStr">
        <is>
          <t>Histogram</t>
        </is>
      </c>
      <c r="E12" s="14" t="inlineStr">
        <is>
          <t>3M / 1Y / All time</t>
        </is>
      </c>
      <c r="F12" s="14" t="inlineStr">
        <is>
          <t>Diagnostic PSA distribution</t>
        </is>
      </c>
      <c r="G12" s="14" t="inlineStr">
        <is>
          <t>PSA bands</t>
        </is>
      </c>
      <c r="H12" s="14" t="inlineStr">
        <is>
          <t>Click band to patient list</t>
        </is>
      </c>
      <c r="I12" s="14" t="inlineStr">
        <is>
          <t>PSA_History.psa_ng_ml + diagnosis context</t>
        </is>
      </c>
      <c r="J12" s="14" t="inlineStr">
        <is>
          <t>Needs first/diagnostic PSA selection</t>
        </is>
      </c>
    </row>
    <row r="13" ht="28.5" customHeight="1">
      <c r="A13" s="14" t="inlineStr">
        <is>
          <t>Clinical</t>
        </is>
      </c>
      <c r="B13" s="14" t="inlineStr">
        <is>
          <t>c-psatrend</t>
        </is>
      </c>
      <c r="C13" s="14" t="inlineStr">
        <is>
          <t>PSA trend — cohort median + percentile bands</t>
        </is>
      </c>
      <c r="D13" s="14" t="inlineStr">
        <is>
          <t>Line chart</t>
        </is>
      </c>
      <c r="E13" s="14" t="inlineStr">
        <is>
          <t>3M / 1Y / All time</t>
        </is>
      </c>
      <c r="F13" s="14" t="inlineStr">
        <is>
          <t>Longitudinal PSA movement</t>
        </is>
      </c>
      <c r="G13" s="14" t="inlineStr">
        <is>
          <t>Time periods with percentile bands</t>
        </is>
      </c>
      <c r="H13" s="14" t="inlineStr">
        <is>
          <t>No patient-level drill in demo</t>
        </is>
      </c>
      <c r="I13" s="14" t="inlineStr">
        <is>
          <t>PSA_History dates + values</t>
        </is>
      </c>
      <c r="J13" s="14" t="inlineStr">
        <is>
          <t>Requires time-series aggregation</t>
        </is>
      </c>
    </row>
    <row r="14" ht="28.5" customHeight="1">
      <c r="A14" s="14" t="inlineStr">
        <is>
          <t>Clinical</t>
        </is>
      </c>
      <c r="B14" s="14" t="inlineStr">
        <is>
          <t>c-gleason</t>
        </is>
      </c>
      <c r="C14" s="14" t="inlineStr">
        <is>
          <t>Gleason / ISUP grade</t>
        </is>
      </c>
      <c r="D14" s="14" t="inlineStr">
        <is>
          <t>Bar</t>
        </is>
      </c>
      <c r="E14" s="14" t="inlineStr">
        <is>
          <t>3M / 1Y / All time</t>
        </is>
      </c>
      <c r="F14" s="14" t="inlineStr">
        <is>
          <t>Pathology risk distribution</t>
        </is>
      </c>
      <c r="G14" s="14" t="inlineStr">
        <is>
          <t>Gleason or grade-group buckets</t>
        </is>
      </c>
      <c r="H14" s="14" t="inlineStr">
        <is>
          <t>Click grade to patient list</t>
        </is>
      </c>
      <c r="I14" s="14" t="inlineStr">
        <is>
          <t>Clinical_Entry.gleason_score, isup_grade_group</t>
        </is>
      </c>
      <c r="J14" s="14" t="inlineStr">
        <is>
          <t>Grade mapping derived</t>
        </is>
      </c>
    </row>
    <row r="15" ht="28.5" customHeight="1">
      <c r="A15" s="14" t="inlineStr">
        <is>
          <t>Clinical</t>
        </is>
      </c>
      <c r="B15" s="14" t="inlineStr">
        <is>
          <t>c-psaden</t>
        </is>
      </c>
      <c r="C15" s="14" t="inlineStr">
        <is>
          <t>PSA density distribution</t>
        </is>
      </c>
      <c r="D15" s="14" t="inlineStr">
        <is>
          <t>Bar</t>
        </is>
      </c>
      <c r="E15" s="14" t="inlineStr">
        <is>
          <t>3M / 1Y / All time</t>
        </is>
      </c>
      <c r="F15" s="14" t="inlineStr">
        <is>
          <t>PSA density spread</t>
        </is>
      </c>
      <c r="G15" s="14" t="inlineStr">
        <is>
          <t>Density bands</t>
        </is>
      </c>
      <c r="H15" s="14" t="inlineStr">
        <is>
          <t>No explicit drilldown label in UI</t>
        </is>
      </c>
      <c r="I15" s="14" t="inlineStr">
        <is>
          <t>PSA_History.psa_density</t>
        </is>
      </c>
      <c r="J15" s="14" t="inlineStr">
        <is>
          <t>Band derivation required</t>
        </is>
      </c>
    </row>
    <row r="16" ht="28.5" customHeight="1">
      <c r="A16" s="14" t="inlineStr">
        <is>
          <t>Clinical</t>
        </is>
      </c>
      <c r="B16" s="14" t="inlineStr">
        <is>
          <t>c-freepsa</t>
        </is>
      </c>
      <c r="C16" s="14" t="inlineStr">
        <is>
          <t>Free PSA % — diagnostic distribution</t>
        </is>
      </c>
      <c r="D16" s="14" t="inlineStr">
        <is>
          <t>Bar</t>
        </is>
      </c>
      <c r="E16" s="14" t="inlineStr">
        <is>
          <t>3M / 1Y / All time</t>
        </is>
      </c>
      <c r="F16" s="14" t="inlineStr">
        <is>
          <t>Free PSA spread</t>
        </is>
      </c>
      <c r="G16" s="14" t="inlineStr">
        <is>
          <t>Percent bands</t>
        </is>
      </c>
      <c r="H16" s="14" t="inlineStr">
        <is>
          <t>No explicit drilldown label in UI</t>
        </is>
      </c>
      <c r="I16" s="14" t="inlineStr">
        <is>
          <t>PSA_History.free_psa_pct</t>
        </is>
      </c>
      <c r="J16" s="14" t="inlineStr">
        <is>
          <t>Band derivation required</t>
        </is>
      </c>
    </row>
    <row r="17" ht="28.5" customHeight="1">
      <c r="A17" s="14" t="inlineStr">
        <is>
          <t>Clinical</t>
        </is>
      </c>
      <c r="B17" s="14" t="inlineStr">
        <is>
          <t>c-comorbid</t>
        </is>
      </c>
      <c r="C17" s="14" t="inlineStr">
        <is>
          <t>Comorbidity burden across cohort</t>
        </is>
      </c>
      <c r="D17" s="14" t="inlineStr">
        <is>
          <t>Bar</t>
        </is>
      </c>
      <c r="E17" s="14" t="inlineStr">
        <is>
          <t>3M / 1Y / All time</t>
        </is>
      </c>
      <c r="F17" s="14" t="inlineStr">
        <is>
          <t>Condition prevalence</t>
        </is>
      </c>
      <c r="G17" s="14" t="inlineStr">
        <is>
          <t>Condition categories</t>
        </is>
      </c>
      <c r="H17" s="14" t="inlineStr">
        <is>
          <t>Click condition to patient list</t>
        </is>
      </c>
      <c r="I17" s="14" t="inlineStr">
        <is>
          <t>Clinical_Entry Yes/No comorbidity flags</t>
        </is>
      </c>
      <c r="J17" s="14" t="inlineStr">
        <is>
          <t>Needs comorbidity pivot</t>
        </is>
      </c>
    </row>
    <row r="18" ht="28.5" customHeight="1">
      <c r="A18" s="14" t="inlineStr">
        <is>
          <t>Clinical</t>
        </is>
      </c>
      <c r="B18" s="14" t="inlineStr">
        <is>
          <t>c-heatmap</t>
        </is>
      </c>
      <c r="C18" s="14" t="inlineStr">
        <is>
          <t>PSA x Gleason heatmap</t>
        </is>
      </c>
      <c r="D18" s="14" t="inlineStr">
        <is>
          <t>Heatmap</t>
        </is>
      </c>
      <c r="E18" s="14" t="inlineStr">
        <is>
          <t>3M / 1Y / All time</t>
        </is>
      </c>
      <c r="F18" s="14" t="inlineStr">
        <is>
          <t>Median PSA by grade and stage</t>
        </is>
      </c>
      <c r="G18" s="14" t="inlineStr">
        <is>
          <t>Stage x grade cells</t>
        </is>
      </c>
      <c r="H18" s="14" t="inlineStr">
        <is>
          <t>Visual scan only in demo</t>
        </is>
      </c>
      <c r="I18" s="14" t="inlineStr">
        <is>
          <t>Clinical_Entry stage + grade + PSA_History</t>
        </is>
      </c>
      <c r="J18" s="14" t="inlineStr">
        <is>
          <t>Requires 2D aggregation</t>
        </is>
      </c>
    </row>
    <row r="19" ht="42.75" customHeight="1">
      <c r="A19" s="14" t="inlineStr">
        <is>
          <t>Treatment</t>
        </is>
      </c>
      <c r="B19" s="14" t="inlineStr">
        <is>
          <t>treatment-kpis</t>
        </is>
      </c>
      <c r="C19" s="14" t="inlineStr">
        <is>
          <t>On ADT / RT Completed-Active / ARSI Intensified / Active Surveillance / CGHS Approval Pending</t>
        </is>
      </c>
      <c r="D19" s="14" t="inlineStr">
        <is>
          <t>KPI row</t>
        </is>
      </c>
      <c r="E19" s="14" t="inlineStr">
        <is>
          <t>3M / 1Y / All time</t>
        </is>
      </c>
      <c r="F19" s="14" t="inlineStr">
        <is>
          <t>Treatment operating picture</t>
        </is>
      </c>
      <c r="G19" s="14" t="inlineStr">
        <is>
          <t>Five KPI cards</t>
        </is>
      </c>
      <c r="H19" s="14" t="inlineStr">
        <is>
          <t>No explicit drilldown</t>
        </is>
      </c>
      <c r="I19" s="14" t="inlineStr">
        <is>
          <t>Treatment_Entry + Clinical_Entry</t>
        </is>
      </c>
      <c r="J19" s="14" t="inlineStr">
        <is>
          <t>CGHS pending requires pre-auth fields</t>
        </is>
      </c>
    </row>
    <row r="20" ht="42.75" customHeight="1">
      <c r="A20" s="14" t="inlineStr">
        <is>
          <t>Treatment</t>
        </is>
      </c>
      <c r="B20" s="14" t="inlineStr">
        <is>
          <t>funnel</t>
        </is>
      </c>
      <c r="C20" s="14" t="inlineStr">
        <is>
          <t>Treatment pathway — patient flow funnel</t>
        </is>
      </c>
      <c r="D20" s="14" t="inlineStr">
        <is>
          <t>Funnel</t>
        </is>
      </c>
      <c r="E20" s="14" t="inlineStr">
        <is>
          <t>3M / 1Y / All time</t>
        </is>
      </c>
      <c r="F20" s="14" t="inlineStr">
        <is>
          <t>Registered to ARSI intensified flow</t>
        </is>
      </c>
      <c r="G20" s="14" t="inlineStr">
        <is>
          <t>Registered, diagnosed &amp; staged, MDT reviewed, treatment started, ADT active, RT completed, ARSI intensified</t>
        </is>
      </c>
      <c r="H20" s="14" t="inlineStr">
        <is>
          <t>Visual pathway only</t>
        </is>
      </c>
      <c r="I20" s="14" t="inlineStr">
        <is>
          <t>Demographics, Clinical, Treatment</t>
        </is>
      </c>
      <c r="J20" s="14" t="inlineStr">
        <is>
          <t>Each step is derived from field completion/status</t>
        </is>
      </c>
    </row>
    <row r="21" ht="28.5" customHeight="1">
      <c r="A21" s="14" t="inlineStr">
        <is>
          <t>Treatment</t>
        </is>
      </c>
      <c r="B21" s="14" t="inlineStr">
        <is>
          <t>c-adt</t>
        </is>
      </c>
      <c r="C21" s="14" t="inlineStr">
        <is>
          <t>ADT landscape</t>
        </is>
      </c>
      <c r="D21" s="14" t="inlineStr">
        <is>
          <t>Horizontal bar</t>
        </is>
      </c>
      <c r="E21" s="14" t="inlineStr">
        <is>
          <t>3M / 1Y / All time</t>
        </is>
      </c>
      <c r="F21" s="14" t="inlineStr">
        <is>
          <t>ADT type/regimen mix</t>
        </is>
      </c>
      <c r="G21" s="14" t="inlineStr">
        <is>
          <t>ADT categories</t>
        </is>
      </c>
      <c r="H21" s="14" t="inlineStr">
        <is>
          <t>No explicit drilldown label in UI</t>
        </is>
      </c>
      <c r="I21" s="14" t="inlineStr">
        <is>
          <t>Treatment_Entry.adt_type</t>
        </is>
      </c>
      <c r="J21" s="14" t="inlineStr">
        <is>
          <t>Possible grouping of agonist / antagonist / orchidectomy</t>
        </is>
      </c>
    </row>
    <row r="22" ht="28.5" customHeight="1">
      <c r="A22" s="14" t="inlineStr">
        <is>
          <t>Treatment</t>
        </is>
      </c>
      <c r="B22" s="14" t="inlineStr">
        <is>
          <t>c-rt</t>
        </is>
      </c>
      <c r="C22" s="14" t="inlineStr">
        <is>
          <t>RT distribution</t>
        </is>
      </c>
      <c r="D22" s="14" t="inlineStr">
        <is>
          <t>Donut</t>
        </is>
      </c>
      <c r="E22" s="14" t="inlineStr">
        <is>
          <t>3M / 1Y / All time</t>
        </is>
      </c>
      <c r="F22" s="14" t="inlineStr">
        <is>
          <t>RT modality / status mix</t>
        </is>
      </c>
      <c r="G22" s="14" t="inlineStr">
        <is>
          <t>RT segments</t>
        </is>
      </c>
      <c r="H22" s="14" t="inlineStr">
        <is>
          <t>Legend-driven</t>
        </is>
      </c>
      <c r="I22" s="14" t="inlineStr">
        <is>
          <t>Treatment_Entry.rt_indication, rt_status, rt_modality</t>
        </is>
      </c>
      <c r="J22" s="14" t="inlineStr">
        <is>
          <t>May require status grouping</t>
        </is>
      </c>
    </row>
    <row r="23" ht="28.5" customHeight="1">
      <c r="A23" s="14" t="inlineStr">
        <is>
          <t>Treatment</t>
        </is>
      </c>
      <c r="B23" s="14" t="inlineStr">
        <is>
          <t>c-arsi</t>
        </is>
      </c>
      <c r="C23" s="14" t="inlineStr">
        <is>
          <t>ARSI intensification landscape</t>
        </is>
      </c>
      <c r="D23" s="14" t="inlineStr">
        <is>
          <t>Bar</t>
        </is>
      </c>
      <c r="E23" s="14" t="inlineStr">
        <is>
          <t>3M / 1Y / All time</t>
        </is>
      </c>
      <c r="F23" s="14" t="inlineStr">
        <is>
          <t>ARSI regimen uptake</t>
        </is>
      </c>
      <c r="G23" s="14" t="inlineStr">
        <is>
          <t>ARSI options</t>
        </is>
      </c>
      <c r="H23" s="14" t="inlineStr">
        <is>
          <t>No explicit drilldown label in UI</t>
        </is>
      </c>
      <c r="I23" s="14" t="inlineStr">
        <is>
          <t>Treatment_Entry.arsi_intensification</t>
        </is>
      </c>
      <c r="J23" s="14" t="inlineStr">
        <is>
          <t>Used also in benchmark cards</t>
        </is>
      </c>
    </row>
    <row r="24" ht="28.5" customHeight="1">
      <c r="A24" s="14" t="inlineStr">
        <is>
          <t>Treatment</t>
        </is>
      </c>
      <c r="B24" s="14" t="inlineStr">
        <is>
          <t>c-adtdur</t>
        </is>
      </c>
      <c r="C24" s="14" t="inlineStr">
        <is>
          <t>ADT duration distribution</t>
        </is>
      </c>
      <c r="D24" s="14" t="inlineStr">
        <is>
          <t>Bar</t>
        </is>
      </c>
      <c r="E24" s="14" t="inlineStr">
        <is>
          <t>3M / 1Y / All time</t>
        </is>
      </c>
      <c r="F24" s="14" t="inlineStr">
        <is>
          <t>Duration on ADT</t>
        </is>
      </c>
      <c r="G24" s="14" t="inlineStr">
        <is>
          <t>Duration buckets</t>
        </is>
      </c>
      <c r="H24" s="14" t="inlineStr">
        <is>
          <t>No explicit drilldown label in UI</t>
        </is>
      </c>
      <c r="I24" s="14" t="inlineStr">
        <is>
          <t>Treatment_Entry.adt_start_date</t>
        </is>
      </c>
      <c r="J24" s="14" t="inlineStr">
        <is>
          <t>Duration bucket derived vs today or filter period</t>
        </is>
      </c>
    </row>
    <row r="25" ht="42.75" customHeight="1">
      <c r="A25" s="14" t="inlineStr">
        <is>
          <t>Outcomes</t>
        </is>
      </c>
      <c r="B25" s="14" t="inlineStr">
        <is>
          <t>outcome-cards</t>
        </is>
      </c>
      <c r="C25" s="14" t="inlineStr">
        <is>
          <t>Outcome headline cards</t>
        </is>
      </c>
      <c r="D25" s="14" t="inlineStr">
        <is>
          <t>4 summary cards</t>
        </is>
      </c>
      <c r="E25" s="14" t="inlineStr">
        <is>
          <t>3M / 1Y / All time</t>
        </is>
      </c>
      <c r="F25" s="14" t="inlineStr">
        <is>
          <t>PSA&lt;0.2 at 12m, nadir within 6m, BCR at 24m, CRPC progression at 36m</t>
        </is>
      </c>
      <c r="G25" s="14" t="inlineStr">
        <is>
          <t>Fixed outcome indicators</t>
        </is>
      </c>
      <c r="H25" s="14" t="inlineStr">
        <is>
          <t>No drilldown in the cards</t>
        </is>
      </c>
      <c r="I25" s="14" t="inlineStr">
        <is>
          <t>Outcomes_Entry + PSA_History + Treatment_Entry</t>
        </is>
      </c>
      <c r="J25" s="14" t="inlineStr">
        <is>
          <t>Now modeled through Outcomes_Entry</t>
        </is>
      </c>
    </row>
    <row r="26" ht="28.5" customHeight="1">
      <c r="A26" s="14" t="inlineStr">
        <is>
          <t>Outcomes</t>
        </is>
      </c>
      <c r="B26" s="14" t="inlineStr">
        <is>
          <t>c-psaresponse</t>
        </is>
      </c>
      <c r="C26" s="14" t="inlineStr">
        <is>
          <t>PSA response over time — stratified by treatment</t>
        </is>
      </c>
      <c r="D26" s="14" t="inlineStr">
        <is>
          <t>Line chart</t>
        </is>
      </c>
      <c r="E26" s="14" t="inlineStr">
        <is>
          <t>3M / 1Y / All time</t>
        </is>
      </c>
      <c r="F26" s="14" t="inlineStr">
        <is>
          <t>Pathway-specific PSA response</t>
        </is>
      </c>
      <c r="G26" s="14" t="inlineStr">
        <is>
          <t>Treatment pathways x timepoints</t>
        </is>
      </c>
      <c r="H26" s="14" t="inlineStr">
        <is>
          <t>Click line point to patient set</t>
        </is>
      </c>
      <c r="I26" s="14" t="inlineStr">
        <is>
          <t>PSA_History + Treatment_Entry + Outcomes_Entry</t>
        </is>
      </c>
      <c r="J26" s="14" t="inlineStr">
        <is>
          <t>Needs response-group derivation</t>
        </is>
      </c>
    </row>
    <row r="27" ht="28.5" customHeight="1">
      <c r="A27" s="14" t="inlineStr">
        <is>
          <t>Outcomes</t>
        </is>
      </c>
      <c r="B27" s="14" t="inlineStr">
        <is>
          <t>c-km</t>
        </is>
      </c>
      <c r="C27" s="14" t="inlineStr">
        <is>
          <t>BCR-free survival — Kaplan-Meier by risk group</t>
        </is>
      </c>
      <c r="D27" s="14" t="inlineStr">
        <is>
          <t>Survival curve</t>
        </is>
      </c>
      <c r="E27" s="14" t="inlineStr">
        <is>
          <t>3M / 1Y / All time</t>
        </is>
      </c>
      <c r="F27" s="14" t="inlineStr">
        <is>
          <t>Event-free survival</t>
        </is>
      </c>
      <c r="G27" s="14" t="inlineStr">
        <is>
          <t>Risk-group strata</t>
        </is>
      </c>
      <c r="H27" s="14" t="inlineStr">
        <is>
          <t>No direct chart drill documented</t>
        </is>
      </c>
      <c r="I27" s="14" t="inlineStr">
        <is>
          <t>Clinical_Entry risk + Outcomes_Entry recurrence dates</t>
        </is>
      </c>
      <c r="J27" s="14" t="inlineStr">
        <is>
          <t>Requires survival-time calculation</t>
        </is>
      </c>
    </row>
    <row r="28" ht="28.5" customHeight="1">
      <c r="A28" s="14" t="inlineStr">
        <is>
          <t>Outcomes</t>
        </is>
      </c>
      <c r="B28" s="14" t="inlineStr">
        <is>
          <t>c-nadir</t>
        </is>
      </c>
      <c r="C28" s="14" t="inlineStr">
        <is>
          <t>Time to PSA nadir</t>
        </is>
      </c>
      <c r="D28" s="14" t="inlineStr">
        <is>
          <t>Bar</t>
        </is>
      </c>
      <c r="E28" s="14" t="inlineStr">
        <is>
          <t>3M / 1Y / All time</t>
        </is>
      </c>
      <c r="F28" s="14" t="inlineStr">
        <is>
          <t>Months to nadir</t>
        </is>
      </c>
      <c r="G28" s="14" t="inlineStr">
        <is>
          <t>Nadir timing buckets</t>
        </is>
      </c>
      <c r="H28" s="14" t="inlineStr">
        <is>
          <t>Click bar to patient list</t>
        </is>
      </c>
      <c r="I28" s="14" t="inlineStr">
        <is>
          <t>Outcomes_Entry.psa_nadir_date + Treatment_Entry.treatment_start_date</t>
        </is>
      </c>
      <c r="J28" s="14" t="inlineStr">
        <is>
          <t>Bucket derivation required</t>
        </is>
      </c>
    </row>
    <row r="29" ht="28.5" customHeight="1">
      <c r="A29" s="14" t="inlineStr">
        <is>
          <t>Outcomes</t>
        </is>
      </c>
      <c r="B29" s="14" t="inlineStr">
        <is>
          <t>c-psadt</t>
        </is>
      </c>
      <c r="C29" s="14" t="inlineStr">
        <is>
          <t>PSA doubling time distribution</t>
        </is>
      </c>
      <c r="D29" s="14" t="inlineStr">
        <is>
          <t>Bar</t>
        </is>
      </c>
      <c r="E29" s="14" t="inlineStr">
        <is>
          <t>3M / 1Y / All time</t>
        </is>
      </c>
      <c r="F29" s="14" t="inlineStr">
        <is>
          <t>PSADT spread</t>
        </is>
      </c>
      <c r="G29" s="14" t="inlineStr">
        <is>
          <t>PSADT buckets</t>
        </is>
      </c>
      <c r="H29" s="14" t="inlineStr">
        <is>
          <t>Click bar to patient list</t>
        </is>
      </c>
      <c r="I29" s="14" t="inlineStr">
        <is>
          <t>Outcomes_Entry.psa_doubling_time_months</t>
        </is>
      </c>
      <c r="J29" s="14" t="inlineStr">
        <is>
          <t>Bucket derivation required</t>
        </is>
      </c>
    </row>
    <row r="30" ht="28.5" customHeight="1">
      <c r="A30" s="14" t="inlineStr">
        <is>
          <t>Outcomes</t>
        </is>
      </c>
      <c r="B30" s="14" t="inlineStr">
        <is>
          <t>c-rtoutcome</t>
        </is>
      </c>
      <c r="C30" s="14" t="inlineStr">
        <is>
          <t>Treatment outcome by RT fractionation</t>
        </is>
      </c>
      <c r="D30" s="14" t="inlineStr">
        <is>
          <t>Bar</t>
        </is>
      </c>
      <c r="E30" s="14" t="inlineStr">
        <is>
          <t>3M / 1Y / All time</t>
        </is>
      </c>
      <c r="F30" s="14" t="inlineStr">
        <is>
          <t>Outcome by RT approach</t>
        </is>
      </c>
      <c r="G30" s="14" t="inlineStr">
        <is>
          <t>Fractionation groups</t>
        </is>
      </c>
      <c r="H30" s="14" t="inlineStr">
        <is>
          <t>No explicit drilldown label in UI</t>
        </is>
      </c>
      <c r="I30" s="14" t="inlineStr">
        <is>
          <t>Treatment_Entry.dose_fractionation + Outcomes_Entry.rt_outcome_status</t>
        </is>
      </c>
      <c r="J30" s="14" t="inlineStr">
        <is>
          <t>Needs normalized RT outcome categories</t>
        </is>
      </c>
    </row>
    <row r="31" ht="28.5" customHeight="1">
      <c r="A31" s="14" t="inlineStr">
        <is>
          <t>Outcomes</t>
        </is>
      </c>
      <c r="B31" s="14" t="inlineStr">
        <is>
          <t>c-timetotx</t>
        </is>
      </c>
      <c r="C31" s="14" t="inlineStr">
        <is>
          <t>Time from diagnosis to treatment start</t>
        </is>
      </c>
      <c r="D31" s="14" t="inlineStr">
        <is>
          <t>Bar</t>
        </is>
      </c>
      <c r="E31" s="14" t="inlineStr">
        <is>
          <t>3M / 1Y / All time</t>
        </is>
      </c>
      <c r="F31" s="14" t="inlineStr">
        <is>
          <t>Access / treatment delay</t>
        </is>
      </c>
      <c r="G31" s="14" t="inlineStr">
        <is>
          <t>Day buckets</t>
        </is>
      </c>
      <c r="H31" s="14" t="inlineStr">
        <is>
          <t>Click bar to patient list</t>
        </is>
      </c>
      <c r="I31" s="14" t="inlineStr">
        <is>
          <t>Clinical_Entry.diagnosis_date + Treatment_Entry.treatment_start_date</t>
        </is>
      </c>
      <c r="J31" s="14" t="inlineStr">
        <is>
          <t>Bucket derivation required</t>
        </is>
      </c>
    </row>
    <row r="32" ht="28.5" customHeight="1">
      <c r="A32" s="14" t="inlineStr">
        <is>
          <t>Outcomes</t>
        </is>
      </c>
      <c r="B32" s="14" t="inlineStr">
        <is>
          <t>c-arsipsa</t>
        </is>
      </c>
      <c r="C32" s="14" t="inlineStr">
        <is>
          <t>PSA response at 6 months — ADT+ARSI vs ADT alone</t>
        </is>
      </c>
      <c r="D32" s="14" t="inlineStr">
        <is>
          <t>Bar</t>
        </is>
      </c>
      <c r="E32" s="14" t="inlineStr">
        <is>
          <t>3M / 1Y / All time</t>
        </is>
      </c>
      <c r="F32" s="14" t="inlineStr">
        <is>
          <t>Comparative response banding</t>
        </is>
      </c>
      <c r="G32" s="14" t="inlineStr">
        <is>
          <t>PSA response bands by regimen</t>
        </is>
      </c>
      <c r="H32" s="14" t="inlineStr">
        <is>
          <t>Click bar to patient list</t>
        </is>
      </c>
      <c r="I32" s="14" t="inlineStr">
        <is>
          <t>Treatment_Entry.arsi_intensification + PSA_History + Outcomes_Entry</t>
        </is>
      </c>
      <c r="J32" s="14" t="inlineStr">
        <is>
          <t>Needs regimen grouping and PSA band logic</t>
        </is>
      </c>
    </row>
    <row r="33" ht="28.5" customHeight="1">
      <c r="A33" s="14" t="inlineStr">
        <is>
          <t>Quality</t>
        </is>
      </c>
      <c r="B33" s="14" t="inlineStr">
        <is>
          <t>c-nudgetrend</t>
        </is>
      </c>
      <c r="C33" s="14" t="inlineStr">
        <is>
          <t>Nudges trend analysis</t>
        </is>
      </c>
      <c r="D33" s="14" t="inlineStr">
        <is>
          <t>Stacked bars + line</t>
        </is>
      </c>
      <c r="E33" s="14" t="inlineStr">
        <is>
          <t>Weekly / Monthly</t>
        </is>
      </c>
      <c r="F33" s="14" t="inlineStr">
        <is>
          <t>Opened, viewed, acted upon, resolved, net active</t>
        </is>
      </c>
      <c r="G33" s="14" t="inlineStr">
        <is>
          <t>Lifecycle stages over time</t>
        </is>
      </c>
      <c r="H33" s="14" t="inlineStr">
        <is>
          <t>Section-level drill into quality workflow</t>
        </is>
      </c>
      <c r="I33" s="14" t="inlineStr">
        <is>
          <t>Historical nudge lifecycle events</t>
        </is>
      </c>
      <c r="J33" s="14" t="inlineStr">
        <is>
          <t>Not supported by one-row entry tabs alone</t>
        </is>
      </c>
    </row>
    <row r="34" ht="28.5" customHeight="1">
      <c r="A34" s="14" t="inlineStr">
        <is>
          <t>Quality</t>
        </is>
      </c>
      <c r="B34" s="14" t="inlineStr">
        <is>
          <t>c-protocol</t>
        </is>
      </c>
      <c r="C34" s="14" t="inlineStr">
        <is>
          <t>Protocol adherence — cohort vs NCCN benchmark</t>
        </is>
      </c>
      <c r="D34" s="14" t="inlineStr">
        <is>
          <t>Radar</t>
        </is>
      </c>
      <c r="E34" s="14" t="inlineStr">
        <is>
          <t>3M / 1Y / All time</t>
        </is>
      </c>
      <c r="F34" s="14" t="inlineStr">
        <is>
          <t>Cohort vs benchmark</t>
        </is>
      </c>
      <c r="G34" s="14" t="inlineStr">
        <is>
          <t>Adherence dimensions</t>
        </is>
      </c>
      <c r="H34" s="14" t="inlineStr">
        <is>
          <t>No patient-level drill documented</t>
        </is>
      </c>
      <c r="I34" s="14" t="inlineStr">
        <is>
          <t>Clinical, Treatment, Care_Gap_Tracker</t>
        </is>
      </c>
      <c r="J34" s="14" t="inlineStr">
        <is>
          <t>Composite benchmark calculation</t>
        </is>
      </c>
    </row>
    <row r="35" ht="28.5" customHeight="1">
      <c r="A35" s="14" t="inlineStr">
        <is>
          <t>Quality</t>
        </is>
      </c>
      <c r="B35" s="14" t="inlineStr">
        <is>
          <t>top-care-gaps</t>
        </is>
      </c>
      <c r="C35" s="14" t="inlineStr">
        <is>
          <t>Top care gaps — patients affected</t>
        </is>
      </c>
      <c r="D35" s="14" t="inlineStr">
        <is>
          <t>Ranked bars</t>
        </is>
      </c>
      <c r="E35" s="14" t="inlineStr">
        <is>
          <t>3M / 1Y / All time</t>
        </is>
      </c>
      <c r="F35" s="14" t="inlineStr">
        <is>
          <t>Most frequent gaps</t>
        </is>
      </c>
      <c r="G35" s="14" t="inlineStr">
        <is>
          <t>Gap categories</t>
        </is>
      </c>
      <c r="H35" s="14" t="inlineStr">
        <is>
          <t>Visual ranking</t>
        </is>
      </c>
      <c r="I35" s="14" t="inlineStr">
        <is>
          <t>Care_Gap_Tracker</t>
        </is>
      </c>
      <c r="J35" s="14" t="inlineStr">
        <is>
          <t>Current workbook already covers core categories</t>
        </is>
      </c>
    </row>
    <row r="36" ht="28.5" customHeight="1">
      <c r="A36" s="14" t="inlineStr">
        <is>
          <t>Quality</t>
        </is>
      </c>
      <c r="B36" s="14" t="inlineStr">
        <is>
          <t>c-cghs</t>
        </is>
      </c>
      <c r="C36" s="14" t="inlineStr">
        <is>
          <t>CGHS pre-auth delay — time to approval</t>
        </is>
      </c>
      <c r="D36" s="14" t="inlineStr">
        <is>
          <t>Bar</t>
        </is>
      </c>
      <c r="E36" s="14" t="inlineStr">
        <is>
          <t>3M / 1Y / All time</t>
        </is>
      </c>
      <c r="F36" s="14" t="inlineStr">
        <is>
          <t>Access delay distribution</t>
        </is>
      </c>
      <c r="G36" s="14" t="inlineStr">
        <is>
          <t>Delay buckets</t>
        </is>
      </c>
      <c r="H36" s="14" t="inlineStr">
        <is>
          <t>No explicit drilldown label in UI</t>
        </is>
      </c>
      <c r="I36" s="14" t="inlineStr">
        <is>
          <t>Treatment_Entry.cghs_request_date + cghs_approval_date + cghs_preauth_status</t>
        </is>
      </c>
      <c r="J36" s="14" t="inlineStr">
        <is>
          <t>Now modeled explicitly</t>
        </is>
      </c>
    </row>
    <row r="37" ht="28.5" customHeight="1">
      <c r="A37" s="14" t="inlineStr">
        <is>
          <t>Quality</t>
        </is>
      </c>
      <c r="B37" s="14" t="inlineStr">
        <is>
          <t>c-bonegap</t>
        </is>
      </c>
      <c r="C37" s="14" t="inlineStr">
        <is>
          <t>Bone health gap — ADT cohort</t>
        </is>
      </c>
      <c r="D37" s="14" t="inlineStr">
        <is>
          <t>Donut + progress bars</t>
        </is>
      </c>
      <c r="E37" s="14" t="inlineStr">
        <is>
          <t>3M / 1Y / All time</t>
        </is>
      </c>
      <c r="F37" s="14" t="inlineStr">
        <is>
          <t>Bone support coverage state</t>
        </is>
      </c>
      <c r="G37" s="14" t="inlineStr">
        <is>
          <t>No bone Rx, no DEXA, no calcium/Vit D, on zoledronate/denosumab</t>
        </is>
      </c>
      <c r="H37" s="14" t="inlineStr">
        <is>
          <t>Click donut segment to patient list</t>
        </is>
      </c>
      <c r="I37" s="14" t="inlineStr">
        <is>
          <t>Treatment_Entry + Clinical_Entry + Care_Gap_Tracker</t>
        </is>
      </c>
      <c r="J37" s="14" t="inlineStr">
        <is>
          <t>Requires bone-gap category derivation</t>
        </is>
      </c>
    </row>
    <row r="38" ht="28.5" customHeight="1">
      <c r="A38" s="14" t="inlineStr">
        <is>
          <t>Quality</t>
        </is>
      </c>
      <c r="B38" s="14" t="inlineStr">
        <is>
          <t>c-completeness</t>
        </is>
      </c>
      <c r="C38" s="14" t="inlineStr">
        <is>
          <t>Data completeness by field group</t>
        </is>
      </c>
      <c r="D38" s="14" t="inlineStr">
        <is>
          <t>Bar</t>
        </is>
      </c>
      <c r="E38" s="14" t="inlineStr">
        <is>
          <t>3M / 1Y / All time</t>
        </is>
      </c>
      <c r="F38" s="14" t="inlineStr">
        <is>
          <t>Field-group completeness %</t>
        </is>
      </c>
      <c r="G38" s="14" t="inlineStr">
        <is>
          <t>Completeness groups</t>
        </is>
      </c>
      <c r="H38" s="14" t="inlineStr">
        <is>
          <t>No explicit drilldown label in UI</t>
        </is>
      </c>
      <c r="I38" s="14" t="inlineStr">
        <is>
          <t>All entry sheets</t>
        </is>
      </c>
      <c r="J38" s="14" t="inlineStr">
        <is>
          <t>Requires group-based completeness scoring</t>
        </is>
      </c>
    </row>
    <row r="39" ht="28.5" customHeight="1">
      <c r="A39" s="14" t="inlineStr">
        <is>
          <t>Quality</t>
        </is>
      </c>
      <c r="B39" s="14" t="inlineStr">
        <is>
          <t>c-mdt</t>
        </is>
      </c>
      <c r="C39" s="14" t="inlineStr">
        <is>
          <t>MDT review rate — monthly trend</t>
        </is>
      </c>
      <c r="D39" s="14" t="inlineStr">
        <is>
          <t>Line</t>
        </is>
      </c>
      <c r="E39" s="14" t="inlineStr">
        <is>
          <t>3M / 1Y / All time</t>
        </is>
      </c>
      <c r="F39" s="14" t="inlineStr">
        <is>
          <t>Reviewed vs variance</t>
        </is>
      </c>
      <c r="G39" s="14" t="inlineStr">
        <is>
          <t>Month buckets</t>
        </is>
      </c>
      <c r="H39" s="14" t="inlineStr">
        <is>
          <t>Click point to patient list</t>
        </is>
      </c>
      <c r="I39" s="14" t="inlineStr">
        <is>
          <t>Treatment_Entry.mdt_tumour_board_status + date_of_mdt_review</t>
        </is>
      </c>
      <c r="J39" s="14" t="inlineStr">
        <is>
          <t>Monthly bucket derivation required</t>
        </is>
      </c>
    </row>
    <row r="40" ht="28.5" customHeight="1">
      <c r="A40" s="14" t="inlineStr">
        <is>
          <t>Demographics</t>
        </is>
      </c>
      <c r="B40" s="14" t="inlineStr">
        <is>
          <t>c-states</t>
        </is>
      </c>
      <c r="C40" s="14" t="inlineStr">
        <is>
          <t>Patients by state of origin</t>
        </is>
      </c>
      <c r="D40" s="14" t="inlineStr">
        <is>
          <t>Ranked state list</t>
        </is>
      </c>
      <c r="E40" s="14" t="inlineStr">
        <is>
          <t>3M / 1Y / All time</t>
        </is>
      </c>
      <c r="F40" s="14" t="inlineStr">
        <is>
          <t>Patient volume by state</t>
        </is>
      </c>
      <c r="G40" s="14" t="inlineStr">
        <is>
          <t>Top 12 states</t>
        </is>
      </c>
      <c r="H40" s="14" t="inlineStr">
        <is>
          <t>Visual ranking only</t>
        </is>
      </c>
      <c r="I40" s="14" t="inlineStr">
        <is>
          <t>Demographics_Entry.state</t>
        </is>
      </c>
      <c r="J40" s="14" t="inlineStr">
        <is>
          <t>Already captured</t>
        </is>
      </c>
    </row>
    <row r="41" ht="28.5" customHeight="1">
      <c r="A41" s="14" t="inlineStr">
        <is>
          <t>Demographics</t>
        </is>
      </c>
      <c r="B41" s="14" t="inlineStr">
        <is>
          <t>c-covstate</t>
        </is>
      </c>
      <c r="C41" s="14" t="inlineStr">
        <is>
          <t>Coverage by state</t>
        </is>
      </c>
      <c r="D41" s="14" t="inlineStr">
        <is>
          <t>Bar</t>
        </is>
      </c>
      <c r="E41" s="14" t="inlineStr">
        <is>
          <t>3M / 1Y / All time</t>
        </is>
      </c>
      <c r="F41" s="14" t="inlineStr">
        <is>
          <t>Coverage mix by geography</t>
        </is>
      </c>
      <c r="G41" s="14" t="inlineStr">
        <is>
          <t>State x coverage</t>
        </is>
      </c>
      <c r="H41" s="14" t="inlineStr">
        <is>
          <t>No explicit drilldown label in UI</t>
        </is>
      </c>
      <c r="I41" s="14" t="inlineStr">
        <is>
          <t>Demographics_Entry.state + healthcare_coverage</t>
        </is>
      </c>
      <c r="J41" s="14" t="inlineStr">
        <is>
          <t>Cross-tab derivation required</t>
        </is>
      </c>
    </row>
    <row r="42" ht="28.5" customHeight="1">
      <c r="A42" s="14" t="inlineStr">
        <is>
          <t>Demographics</t>
        </is>
      </c>
      <c r="B42" s="14" t="inlineStr">
        <is>
          <t>c-ref</t>
        </is>
      </c>
      <c r="C42" s="14" t="inlineStr">
        <is>
          <t>Referral source</t>
        </is>
      </c>
      <c r="D42" s="14" t="inlineStr">
        <is>
          <t>Donut</t>
        </is>
      </c>
      <c r="E42" s="14" t="inlineStr">
        <is>
          <t>3M / 1Y / All time</t>
        </is>
      </c>
      <c r="F42" s="14" t="inlineStr">
        <is>
          <t>Referral mix</t>
        </is>
      </c>
      <c r="G42" s="14" t="inlineStr">
        <is>
          <t>Referral source groups</t>
        </is>
      </c>
      <c r="H42" s="14" t="inlineStr">
        <is>
          <t>Legend-driven</t>
        </is>
      </c>
      <c r="I42" s="14" t="inlineStr">
        <is>
          <t>Demographics_Entry.referral_source</t>
        </is>
      </c>
      <c r="J42" s="14" t="inlineStr">
        <is>
          <t>Now captured explicitly</t>
        </is>
      </c>
    </row>
    <row r="43" ht="28.5" customHeight="1">
      <c r="A43" s="14" t="inlineStr">
        <is>
          <t>Demographics</t>
        </is>
      </c>
      <c r="B43" s="14" t="inlineStr">
        <is>
          <t>c-travel</t>
        </is>
      </c>
      <c r="C43" s="14" t="inlineStr">
        <is>
          <t>Travel distance to centre</t>
        </is>
      </c>
      <c r="D43" s="14" t="inlineStr">
        <is>
          <t>Bar</t>
        </is>
      </c>
      <c r="E43" s="14" t="inlineStr">
        <is>
          <t>3M / 1Y / All time</t>
        </is>
      </c>
      <c r="F43" s="14" t="inlineStr">
        <is>
          <t>Travel burden</t>
        </is>
      </c>
      <c r="G43" s="14" t="inlineStr">
        <is>
          <t>Distance buckets</t>
        </is>
      </c>
      <c r="H43" s="14" t="inlineStr">
        <is>
          <t>No explicit drilldown label in UI</t>
        </is>
      </c>
      <c r="I43" s="14" t="inlineStr">
        <is>
          <t>Demographics_Entry.travel_distance_km</t>
        </is>
      </c>
      <c r="J43" s="14" t="inlineStr">
        <is>
          <t>Now captured explicitly</t>
        </is>
      </c>
    </row>
    <row r="44" ht="28.5" customHeight="1">
      <c r="A44" s="14" t="inlineStr">
        <is>
          <t>Demographics</t>
        </is>
      </c>
      <c r="B44" s="14" t="inlineStr">
        <is>
          <t>c-lang</t>
        </is>
      </c>
      <c r="C44" s="14" t="inlineStr">
        <is>
          <t>Language preference</t>
        </is>
      </c>
      <c r="D44" s="14" t="inlineStr">
        <is>
          <t>Bar</t>
        </is>
      </c>
      <c r="E44" s="14" t="inlineStr">
        <is>
          <t>3M / 1Y / All time</t>
        </is>
      </c>
      <c r="F44" s="14" t="inlineStr">
        <is>
          <t>Language mix</t>
        </is>
      </c>
      <c r="G44" s="14" t="inlineStr">
        <is>
          <t>Language categories</t>
        </is>
      </c>
      <c r="H44" s="14" t="inlineStr">
        <is>
          <t>No explicit drilldown label in UI</t>
        </is>
      </c>
      <c r="I44" s="14" t="inlineStr">
        <is>
          <t>Demographics_Entry.language_preference</t>
        </is>
      </c>
      <c r="J44" s="14" t="inlineStr">
        <is>
          <t>Already captured</t>
        </is>
      </c>
    </row>
    <row r="45" ht="28.5" customHeight="1">
      <c r="A45" s="14" t="inlineStr">
        <is>
          <t>Demographics</t>
        </is>
      </c>
      <c r="B45" s="14" t="inlineStr">
        <is>
          <t>c-comorbpair</t>
        </is>
      </c>
      <c r="C45" s="14" t="inlineStr">
        <is>
          <t>Comorbidity co-occurrence — top pairs</t>
        </is>
      </c>
      <c r="D45" s="14" t="inlineStr">
        <is>
          <t>Horizontal bar</t>
        </is>
      </c>
      <c r="E45" s="14" t="inlineStr">
        <is>
          <t>3M / 1Y / All time</t>
        </is>
      </c>
      <c r="F45" s="14" t="inlineStr">
        <is>
          <t>Top comorbidity pairs</t>
        </is>
      </c>
      <c r="G45" s="14" t="inlineStr">
        <is>
          <t>Pair combinations</t>
        </is>
      </c>
      <c r="H45" s="14" t="inlineStr">
        <is>
          <t>No explicit drilldown label in UI</t>
        </is>
      </c>
      <c r="I45" s="14" t="inlineStr">
        <is>
          <t>Clinical_Entry comorbidity flags</t>
        </is>
      </c>
      <c r="J45" s="14" t="inlineStr">
        <is>
          <t>Pair derivation required</t>
        </is>
      </c>
    </row>
    <row r="46" ht="28.5" customHeight="1">
      <c r="A46" s="14" t="inlineStr">
        <is>
          <t>Demographics</t>
        </is>
      </c>
      <c r="B46" s="14" t="inlineStr">
        <is>
          <t>c-ecog</t>
        </is>
      </c>
      <c r="C46" s="14" t="inlineStr">
        <is>
          <t>ECOG performance status</t>
        </is>
      </c>
      <c r="D46" s="14" t="inlineStr">
        <is>
          <t>Donut + progress bars</t>
        </is>
      </c>
      <c r="E46" s="14" t="inlineStr">
        <is>
          <t>3M / 1Y / All time</t>
        </is>
      </c>
      <c r="F46" s="14" t="inlineStr">
        <is>
          <t>Functional status mix</t>
        </is>
      </c>
      <c r="G46" s="14" t="inlineStr">
        <is>
          <t>ECOG 0/1/2/3</t>
        </is>
      </c>
      <c r="H46" s="14" t="inlineStr">
        <is>
          <t>Click donut segment to patient list</t>
        </is>
      </c>
      <c r="I46" s="14" t="inlineStr">
        <is>
          <t>Clinical_Entry.ecog_performance_status</t>
        </is>
      </c>
      <c r="J46" s="14" t="inlineStr">
        <is>
          <t>Already captured with normalization</t>
        </is>
      </c>
    </row>
  </sheetData>
  <mergeCells count="2">
    <mergeCell ref="A1:J1"/>
    <mergeCell ref="A2:J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26"/>
  <sheetViews>
    <sheetView showGridLines="0" zoomScale="90" zoomScaleNormal="90" workbookViewId="0">
      <selection activeCell="A1" sqref="A1:F1"/>
    </sheetView>
  </sheetViews>
  <sheetFormatPr baseColWidth="8" defaultColWidth="8.875" defaultRowHeight="14.25"/>
  <cols>
    <col width="22" customWidth="1" min="1" max="1"/>
    <col width="30" customWidth="1" min="2" max="2"/>
    <col width="38" customWidth="1" min="3" max="3"/>
    <col width="34" customWidth="1" min="4" max="4"/>
    <col width="12" customWidth="1" min="5" max="5"/>
    <col width="34" customWidth="1" min="6" max="6"/>
  </cols>
  <sheetData>
    <row r="1" ht="15.75" customHeight="1">
      <c r="A1" s="12" t="inlineStr">
        <is>
          <t>Dashboard Derived Fields &amp; Logic</t>
        </is>
      </c>
    </row>
    <row r="2">
      <c r="A2" s="13" t="inlineStr">
        <is>
          <t>Many dashboard widgets rely on derived cohort fields rather than direct form columns. This tab lists those derived items, where they are used, and whether the workbook now captures the required source fields.</t>
        </is>
      </c>
    </row>
    <row r="4" ht="15" customHeight="1">
      <c r="A4" s="2" t="inlineStr">
        <is>
          <t>Derived Field</t>
        </is>
      </c>
      <c r="B4" s="2" t="inlineStr">
        <is>
          <t>Used By</t>
        </is>
      </c>
      <c r="C4" s="2" t="inlineStr">
        <is>
          <t>Derivation Logic</t>
        </is>
      </c>
      <c r="D4" s="2" t="inlineStr">
        <is>
          <t>Source Fields</t>
        </is>
      </c>
      <c r="E4" s="2" t="inlineStr">
        <is>
          <t>Coverage</t>
        </is>
      </c>
      <c r="F4" s="2" t="inlineStr">
        <is>
          <t>Notes</t>
        </is>
      </c>
    </row>
    <row r="5" ht="28.5" customHeight="1">
      <c r="A5" s="14" t="inlineStr">
        <is>
          <t>period bucket</t>
        </is>
      </c>
      <c r="B5" s="14" t="inlineStr">
        <is>
          <t>Home registrations, c-reg, c-psatrend, c-mdt</t>
        </is>
      </c>
      <c r="C5" s="14" t="inlineStr">
        <is>
          <t>Bucket each date into 3M / 1Y / All-time periods and month labels</t>
        </is>
      </c>
      <c r="D5" s="14" t="inlineStr">
        <is>
          <t>Registry enrolment date, PSA dates, MDT review date</t>
        </is>
      </c>
      <c r="E5" s="14" t="inlineStr">
        <is>
          <t>Partial</t>
        </is>
      </c>
      <c r="F5" s="14" t="inlineStr">
        <is>
          <t>Requires aggregation logic rather than new patient fields.</t>
        </is>
      </c>
    </row>
    <row r="6" ht="28.5" customHeight="1">
      <c r="A6" s="14" t="inlineStr">
        <is>
          <t>risk group normalization</t>
        </is>
      </c>
      <c r="B6" s="14" t="inlineStr">
        <is>
          <t>c-risk, benchmark cards, protocol score</t>
        </is>
      </c>
      <c r="C6" s="14" t="inlineStr">
        <is>
          <t>Collapse UI risk labels into cohort risk groups</t>
        </is>
      </c>
      <c r="D6" s="14" t="inlineStr">
        <is>
          <t>Clinical_Entry.eau_risk_category</t>
        </is>
      </c>
      <c r="E6" s="14" t="inlineStr">
        <is>
          <t>Yes</t>
        </is>
      </c>
      <c r="F6" s="14" t="inlineStr">
        <is>
          <t>Directly supported from current risk field.</t>
        </is>
      </c>
    </row>
    <row r="7" ht="28.5" customHeight="1">
      <c r="A7" s="14" t="inlineStr">
        <is>
          <t>stage-at-presentation bucket</t>
        </is>
      </c>
      <c r="B7" s="14" t="inlineStr">
        <is>
          <t>c-stage, heatmap, outcomes stratification</t>
        </is>
      </c>
      <c r="C7" s="14" t="inlineStr">
        <is>
          <t>Map T/N/M fields into presentation buckets</t>
        </is>
      </c>
      <c r="D7" s="14" t="inlineStr">
        <is>
          <t>Clinical_Entry.clinical_t_stage, n_stage, m_stage</t>
        </is>
      </c>
      <c r="E7" s="14" t="inlineStr">
        <is>
          <t>Yes</t>
        </is>
      </c>
      <c r="F7" s="14" t="inlineStr">
        <is>
          <t>Derived grouping required.</t>
        </is>
      </c>
    </row>
    <row r="8" ht="28.5" customHeight="1">
      <c r="A8" s="14" t="inlineStr">
        <is>
          <t>age at diagnosis</t>
        </is>
      </c>
      <c r="B8" s="14" t="inlineStr">
        <is>
          <t>c-age</t>
        </is>
      </c>
      <c r="C8" s="14" t="inlineStr">
        <is>
          <t>Use numeric age-at-diagnosis entry directly, then bucket into dashboard age bands</t>
        </is>
      </c>
      <c r="D8" s="14" t="inlineStr">
        <is>
          <t>Demographics_Entry.age_at_diagnosis_years</t>
        </is>
      </c>
      <c r="E8" s="14" t="inlineStr">
        <is>
          <t>Yes</t>
        </is>
      </c>
      <c r="F8" s="14" t="inlineStr">
        <is>
          <t>This keeps the workbook de-identified while preserving the age histogram.</t>
        </is>
      </c>
    </row>
    <row r="9" ht="42.75" customHeight="1">
      <c r="A9" s="14" t="inlineStr">
        <is>
          <t>diagnostic PSA selection</t>
        </is>
      </c>
      <c r="B9" s="14" t="inlineStr">
        <is>
          <t>c-psadx, heatmap</t>
        </is>
      </c>
      <c r="C9" s="14" t="inlineStr">
        <is>
          <t>Select PSA reading associated with diagnosis window or marked diagnostic context</t>
        </is>
      </c>
      <c r="D9" s="14" t="inlineStr">
        <is>
          <t>PSA_History</t>
        </is>
      </c>
      <c r="E9" s="14" t="inlineStr">
        <is>
          <t>Partial</t>
        </is>
      </c>
      <c r="F9" s="14" t="inlineStr">
        <is>
          <t>Needs consistent PSA-history entry practice.</t>
        </is>
      </c>
    </row>
    <row r="10">
      <c r="A10" s="14" t="inlineStr">
        <is>
          <t>PSA density band</t>
        </is>
      </c>
      <c r="B10" s="14" t="inlineStr">
        <is>
          <t>c-psaden</t>
        </is>
      </c>
      <c r="C10" s="14" t="inlineStr">
        <is>
          <t>Bucket PSA density into configured bands</t>
        </is>
      </c>
      <c r="D10" s="14" t="inlineStr">
        <is>
          <t>PSA_History.psa_density</t>
        </is>
      </c>
      <c r="E10" s="14" t="inlineStr">
        <is>
          <t>Yes</t>
        </is>
      </c>
      <c r="F10" s="14" t="inlineStr">
        <is>
          <t>Band edges remain analytics config.</t>
        </is>
      </c>
    </row>
    <row r="11">
      <c r="A11" s="14" t="inlineStr">
        <is>
          <t>free PSA band</t>
        </is>
      </c>
      <c r="B11" s="14" t="inlineStr">
        <is>
          <t>c-freepsa</t>
        </is>
      </c>
      <c r="C11" s="14" t="inlineStr">
        <is>
          <t>Bucket free PSA % into configured bands</t>
        </is>
      </c>
      <c r="D11" s="14" t="inlineStr">
        <is>
          <t>PSA_History.free_psa_pct</t>
        </is>
      </c>
      <c r="E11" s="14" t="inlineStr">
        <is>
          <t>Yes</t>
        </is>
      </c>
      <c r="F11" s="14" t="inlineStr">
        <is>
          <t>Band edges remain analytics config.</t>
        </is>
      </c>
    </row>
    <row r="12" ht="28.5" customHeight="1">
      <c r="A12" s="14" t="inlineStr">
        <is>
          <t>comorbidity mask</t>
        </is>
      </c>
      <c r="B12" s="14" t="inlineStr">
        <is>
          <t>c-comorbid, c-comorbpair</t>
        </is>
      </c>
      <c r="C12" s="14" t="inlineStr">
        <is>
          <t>Convert Yes/No flags into one-hot and pair combinations</t>
        </is>
      </c>
      <c r="D12" s="14" t="inlineStr">
        <is>
          <t>Clinical_Entry comorbidity columns</t>
        </is>
      </c>
      <c r="E12" s="14" t="inlineStr">
        <is>
          <t>Yes</t>
        </is>
      </c>
      <c r="F12" s="14" t="inlineStr">
        <is>
          <t>Workbook stores each comorbidity as a separate flag.</t>
        </is>
      </c>
    </row>
    <row r="13">
      <c r="A13" s="14" t="inlineStr">
        <is>
          <t>ADT duration bucket</t>
        </is>
      </c>
      <c r="B13" s="14" t="inlineStr">
        <is>
          <t>c-adtdur</t>
        </is>
      </c>
      <c r="C13" s="14" t="inlineStr">
        <is>
          <t>DATEDIF(ADT Start Date, today/filter end)</t>
        </is>
      </c>
      <c r="D13" s="14" t="inlineStr">
        <is>
          <t>Treatment_Entry.adt_start_date</t>
        </is>
      </c>
      <c r="E13" s="14" t="inlineStr">
        <is>
          <t>Yes</t>
        </is>
      </c>
      <c r="F13" s="14" t="inlineStr">
        <is>
          <t>Time filter affects active duration.</t>
        </is>
      </c>
    </row>
    <row r="14" ht="28.5" customHeight="1">
      <c r="A14" s="14" t="inlineStr">
        <is>
          <t>treatment started flag</t>
        </is>
      </c>
      <c r="B14" s="14" t="inlineStr">
        <is>
          <t>Treatment funnel, c-timetotx</t>
        </is>
      </c>
      <c r="C14" s="14" t="inlineStr">
        <is>
          <t>Treatment start present when first active treatment date exists</t>
        </is>
      </c>
      <c r="D14" s="14" t="inlineStr">
        <is>
          <t>Treatment_Entry.treatment_start_date</t>
        </is>
      </c>
      <c r="E14" s="14" t="inlineStr">
        <is>
          <t>Yes</t>
        </is>
      </c>
      <c r="F14" s="14" t="inlineStr">
        <is>
          <t>Added for clean time-to-treatment logic.</t>
        </is>
      </c>
    </row>
    <row r="15" ht="28.5" customHeight="1">
      <c r="A15" s="14" t="inlineStr">
        <is>
          <t>RT completed flag</t>
        </is>
      </c>
      <c r="B15" s="14" t="inlineStr">
        <is>
          <t>Treatment KPI row, funnel, c-rtoutcome</t>
        </is>
      </c>
      <c r="C15" s="14" t="inlineStr">
        <is>
          <t>RT status = Completed or RT Completion Date present</t>
        </is>
      </c>
      <c r="D15" s="14" t="inlineStr">
        <is>
          <t>Treatment_Entry.rt_status, rt_completion_date</t>
        </is>
      </c>
      <c r="E15" s="14" t="inlineStr">
        <is>
          <t>Yes</t>
        </is>
      </c>
      <c r="F15" s="14" t="inlineStr">
        <is>
          <t>Added in this revision.</t>
        </is>
      </c>
    </row>
    <row r="16" ht="28.5" customHeight="1">
      <c r="A16" s="14" t="inlineStr">
        <is>
          <t>response group</t>
        </is>
      </c>
      <c r="B16" s="14" t="inlineStr">
        <is>
          <t>c-psaresponse</t>
        </is>
      </c>
      <c r="C16" s="14" t="inlineStr">
        <is>
          <t>Assign patient to RT+ADT+ARSI, RT+ADT, ADT alone, or active surveillance</t>
        </is>
      </c>
      <c r="D16" s="14" t="inlineStr">
        <is>
          <t>Treatment_Entry + Outcomes_Entry</t>
        </is>
      </c>
      <c r="E16" s="14" t="inlineStr">
        <is>
          <t>Partial</t>
        </is>
      </c>
      <c r="F16" s="14" t="inlineStr">
        <is>
          <t>Needs grouping rules on top of captured fields.</t>
        </is>
      </c>
    </row>
    <row r="17" ht="28.5" customHeight="1">
      <c r="A17" s="14" t="inlineStr">
        <is>
          <t>nadir bucket</t>
        </is>
      </c>
      <c r="B17" s="14" t="inlineStr">
        <is>
          <t>c-nadir</t>
        </is>
      </c>
      <c r="C17" s="14" t="inlineStr">
        <is>
          <t>DATEDIF(Treatment Start, PSA Nadir Date)</t>
        </is>
      </c>
      <c r="D17" s="14" t="inlineStr">
        <is>
          <t>Treatment_Entry.treatment_start_date, Outcomes_Entry.psa_nadir_date</t>
        </is>
      </c>
      <c r="E17" s="14" t="inlineStr">
        <is>
          <t>Yes</t>
        </is>
      </c>
      <c r="F17" s="14" t="inlineStr">
        <is>
          <t>Outcome capture added in this revision.</t>
        </is>
      </c>
    </row>
    <row r="18" ht="28.5" customHeight="1">
      <c r="A18" s="14" t="inlineStr">
        <is>
          <t>PSADT bucket</t>
        </is>
      </c>
      <c r="B18" s="14" t="inlineStr">
        <is>
          <t>c-psadt</t>
        </is>
      </c>
      <c r="C18" s="14" t="inlineStr">
        <is>
          <t>Bucket PSA doubling time in months</t>
        </is>
      </c>
      <c r="D18" s="14" t="inlineStr">
        <is>
          <t>Outcomes_Entry.psa_doubling_time_months</t>
        </is>
      </c>
      <c r="E18" s="14" t="inlineStr">
        <is>
          <t>Yes</t>
        </is>
      </c>
      <c r="F18" s="14" t="inlineStr">
        <is>
          <t>Outcome capture added in this revision.</t>
        </is>
      </c>
    </row>
    <row r="19" ht="28.5" customHeight="1">
      <c r="A19" s="14" t="inlineStr">
        <is>
          <t>time-to-treatment bucket</t>
        </is>
      </c>
      <c r="B19" s="14" t="inlineStr">
        <is>
          <t>c-timetotx</t>
        </is>
      </c>
      <c r="C19" s="14" t="inlineStr">
        <is>
          <t>DATEDIF(Diagnosis Date, Treatment Start Date)</t>
        </is>
      </c>
      <c r="D19" s="14" t="inlineStr">
        <is>
          <t>Clinical_Entry.diagnosis_date, Treatment_Entry.treatment_start_date</t>
        </is>
      </c>
      <c r="E19" s="14" t="inlineStr">
        <is>
          <t>Yes</t>
        </is>
      </c>
      <c r="F19" s="14" t="inlineStr">
        <is>
          <t>Both source dates now captured.</t>
        </is>
      </c>
    </row>
    <row r="20" ht="42.75" customHeight="1">
      <c r="A20" s="14" t="inlineStr">
        <is>
          <t>CGHS delay bucket</t>
        </is>
      </c>
      <c r="B20" s="14" t="inlineStr">
        <is>
          <t>CGHS pending KPI, c-cghs</t>
        </is>
      </c>
      <c r="C20" s="14" t="inlineStr">
        <is>
          <t>DATEDIF(Request Date, Approval Date or today)</t>
        </is>
      </c>
      <c r="D20" s="14" t="inlineStr">
        <is>
          <t>Treatment_Entry.cghs_request_date, cghs_approval_date, cghs_preauth_status</t>
        </is>
      </c>
      <c r="E20" s="14" t="inlineStr">
        <is>
          <t>Yes</t>
        </is>
      </c>
      <c r="F20" s="14" t="inlineStr">
        <is>
          <t>Added in this revision.</t>
        </is>
      </c>
    </row>
    <row r="21" ht="28.5" customHeight="1">
      <c r="A21" s="14" t="inlineStr">
        <is>
          <t>bone-gap category</t>
        </is>
      </c>
      <c r="B21" s="14" t="inlineStr">
        <is>
          <t>c-bonegap, top care gaps, protocol score</t>
        </is>
      </c>
      <c r="C21" s="14" t="inlineStr">
        <is>
          <t>Categorize no bone Rx / no DEXA / partial coverage / protected</t>
        </is>
      </c>
      <c r="D21" s="14" t="inlineStr">
        <is>
          <t>Treatment_Entry + Clinical_Entry + Care_Gap_Tracker</t>
        </is>
      </c>
      <c r="E21" s="14" t="inlineStr">
        <is>
          <t>Yes</t>
        </is>
      </c>
      <c r="F21" s="14" t="inlineStr">
        <is>
          <t>Current workbook already covers core bone-gap components.</t>
        </is>
      </c>
    </row>
    <row r="22" ht="28.5" customHeight="1">
      <c r="A22" s="14" t="inlineStr">
        <is>
          <t>completeness score</t>
        </is>
      </c>
      <c r="B22" s="14" t="inlineStr">
        <is>
          <t>Home completeness, c-completeness</t>
        </is>
      </c>
      <c r="C22" s="14" t="inlineStr">
        <is>
          <t>Evaluate presence of required fields per field group</t>
        </is>
      </c>
      <c r="D22" s="14" t="inlineStr">
        <is>
          <t>All entry sheets + Field_Dictionary</t>
        </is>
      </c>
      <c r="E22" s="14" t="inlineStr">
        <is>
          <t>Yes</t>
        </is>
      </c>
      <c r="F22" s="14" t="inlineStr">
        <is>
          <t>Needs analytics rule layer, not extra patient data.</t>
        </is>
      </c>
    </row>
    <row r="23" ht="28.5" customHeight="1">
      <c r="A23" s="14" t="inlineStr">
        <is>
          <t>MDT month bucket</t>
        </is>
      </c>
      <c r="B23" s="14" t="inlineStr">
        <is>
          <t>c-mdt</t>
        </is>
      </c>
      <c r="C23" s="14" t="inlineStr">
        <is>
          <t>Bucket MDT review dates by month and reviewed/not reviewed</t>
        </is>
      </c>
      <c r="D23" s="14" t="inlineStr">
        <is>
          <t>Treatment_Entry.date_of_mdt_review, mdt_tumour_board_status</t>
        </is>
      </c>
      <c r="E23" s="14" t="inlineStr">
        <is>
          <t>Yes</t>
        </is>
      </c>
      <c r="F23" s="14" t="inlineStr">
        <is>
          <t>Source capture is present.</t>
        </is>
      </c>
    </row>
    <row r="24" ht="28.5" customHeight="1">
      <c r="A24" s="14" t="inlineStr">
        <is>
          <t>travel distance bucket</t>
        </is>
      </c>
      <c r="B24" s="14" t="inlineStr">
        <is>
          <t>c-travel</t>
        </is>
      </c>
      <c r="C24" s="14" t="inlineStr">
        <is>
          <t>Bucket travel km into configured distance bands</t>
        </is>
      </c>
      <c r="D24" s="14" t="inlineStr">
        <is>
          <t>Demographics_Entry.travel_distance_km</t>
        </is>
      </c>
      <c r="E24" s="14" t="inlineStr">
        <is>
          <t>Yes</t>
        </is>
      </c>
      <c r="F24" s="14" t="inlineStr">
        <is>
          <t>Added in this revision.</t>
        </is>
      </c>
    </row>
    <row r="25" ht="28.5" customHeight="1">
      <c r="A25" s="14" t="inlineStr">
        <is>
          <t>ECOG normalization</t>
        </is>
      </c>
      <c r="B25" s="14" t="inlineStr">
        <is>
          <t>c-ecog</t>
        </is>
      </c>
      <c r="C25" s="14" t="inlineStr">
        <is>
          <t>Map ECOG labels to 0/1/2/3 bands</t>
        </is>
      </c>
      <c r="D25" s="14" t="inlineStr">
        <is>
          <t>Clinical_Entry.ecog_performance_status</t>
        </is>
      </c>
      <c r="E25" s="14" t="inlineStr">
        <is>
          <t>Yes</t>
        </is>
      </c>
      <c r="F25" s="14" t="inlineStr">
        <is>
          <t>Already captured.</t>
        </is>
      </c>
    </row>
    <row r="26" ht="28.5" customHeight="1">
      <c r="A26" s="14" t="inlineStr">
        <is>
          <t>nudge lifecycle history</t>
        </is>
      </c>
      <c r="B26" s="14" t="inlineStr">
        <is>
          <t>Home nudge trends, c-nudgetrend</t>
        </is>
      </c>
      <c r="C26" s="14" t="inlineStr">
        <is>
          <t>Track Opened, Viewed, Acted Upon, Resolved events over time</t>
        </is>
      </c>
      <c r="D26" s="14" t="inlineStr">
        <is>
          <t>Historical nudge events</t>
        </is>
      </c>
      <c r="E26" s="14" t="inlineStr">
        <is>
          <t>No</t>
        </is>
      </c>
      <c r="F26" s="14" t="inlineStr">
        <is>
          <t>Still requires a dedicated event log beyond patient snapshot tables.</t>
        </is>
      </c>
    </row>
  </sheetData>
  <mergeCells count="2">
    <mergeCell ref="A2:F2"/>
    <mergeCell ref="A1:F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20"/>
  <sheetViews>
    <sheetView showGridLines="0" zoomScale="90" zoomScaleNormal="90" workbookViewId="0">
      <selection activeCell="A1" sqref="A1:E1"/>
    </sheetView>
  </sheetViews>
  <sheetFormatPr baseColWidth="8" defaultColWidth="8.875" defaultRowHeight="14.25"/>
  <cols>
    <col width="34" customWidth="1" min="1" max="1"/>
    <col width="16" customWidth="1" min="2" max="2"/>
    <col width="34" customWidth="1" min="3" max="3"/>
    <col width="36" customWidth="1" min="4" max="4"/>
    <col width="30" customWidth="1" min="5" max="5"/>
  </cols>
  <sheetData>
    <row r="1" ht="15.75" customHeight="1">
      <c r="A1" s="12" t="inlineStr">
        <is>
          <t>Dashboard Coverage Check</t>
        </is>
      </c>
    </row>
    <row r="2">
      <c r="A2" s="13" t="inlineStr">
        <is>
          <t>Coverage check between the real product dashboard and this Excel-based registry workbook. Use this tab during handover to show what is already modeled, what is partially modeled, and what still depends on application event history or non-tabular workflow data.</t>
        </is>
      </c>
    </row>
    <row r="4" ht="15" customHeight="1">
      <c r="A4" s="2" t="inlineStr">
        <is>
          <t>Analytics Requirement</t>
        </is>
      </c>
      <c r="B4" s="2" t="inlineStr">
        <is>
          <t>Coverage Status</t>
        </is>
      </c>
      <c r="C4" s="2" t="inlineStr">
        <is>
          <t>Current Workbook Support</t>
        </is>
      </c>
      <c r="D4" s="2" t="inlineStr">
        <is>
          <t>Recommended Handling</t>
        </is>
      </c>
      <c r="E4" s="2" t="inlineStr">
        <is>
          <t>Why It Matters</t>
        </is>
      </c>
    </row>
    <row r="5" ht="28.5" customHeight="1">
      <c r="A5" s="14" t="inlineStr">
        <is>
          <t>Home and population registration trends</t>
        </is>
      </c>
      <c r="B5" s="14" t="inlineStr">
        <is>
          <t>Covered</t>
        </is>
      </c>
      <c r="C5" s="14" t="inlineStr">
        <is>
          <t>Demographics_Entry.registry_enrolment_date</t>
        </is>
      </c>
      <c r="D5" s="14" t="inlineStr">
        <is>
          <t>Use enrolment date as the month-series anchor</t>
        </is>
      </c>
      <c r="E5" s="14" t="inlineStr">
        <is>
          <t>Added in this revision.</t>
        </is>
      </c>
    </row>
    <row r="6" ht="28.5" customHeight="1">
      <c r="A6" s="14" t="inlineStr">
        <is>
          <t>Age at diagnosis</t>
        </is>
      </c>
      <c r="B6" s="14" t="inlineStr">
        <is>
          <t>Covered</t>
        </is>
      </c>
      <c r="C6" s="14" t="inlineStr">
        <is>
          <t>Demographics_Entry.age_at_diagnosis_years</t>
        </is>
      </c>
      <c r="D6" s="14" t="inlineStr">
        <is>
          <t>Derive age bucket in analytics layer</t>
        </is>
      </c>
      <c r="E6" s="14" t="inlineStr">
        <is>
          <t>Needed for the overview histogram.</t>
        </is>
      </c>
    </row>
    <row r="7">
      <c r="A7" s="14" t="inlineStr">
        <is>
          <t>Referral source donut</t>
        </is>
      </c>
      <c r="B7" s="14" t="inlineStr">
        <is>
          <t>Covered</t>
        </is>
      </c>
      <c r="C7" s="14" t="inlineStr">
        <is>
          <t>Demographics_Entry.referral_source</t>
        </is>
      </c>
      <c r="D7" s="14" t="inlineStr">
        <is>
          <t>Normalize to dashboard referral buckets</t>
        </is>
      </c>
      <c r="E7" s="14" t="inlineStr">
        <is>
          <t>Added in this revision.</t>
        </is>
      </c>
    </row>
    <row r="8" ht="28.5" customHeight="1">
      <c r="A8" s="14" t="inlineStr">
        <is>
          <t>Travel distance chart</t>
        </is>
      </c>
      <c r="B8" s="14" t="inlineStr">
        <is>
          <t>Covered</t>
        </is>
      </c>
      <c r="C8" s="14" t="inlineStr">
        <is>
          <t>Demographics_Entry.travel_distance_km</t>
        </is>
      </c>
      <c r="D8" s="14" t="inlineStr">
        <is>
          <t>Bucket into dashboard distance ranges</t>
        </is>
      </c>
      <c r="E8" s="14" t="inlineStr">
        <is>
          <t>Added in this revision.</t>
        </is>
      </c>
    </row>
    <row r="9" ht="42.75" customHeight="1">
      <c r="A9" s="14" t="inlineStr">
        <is>
          <t>CGHS delay and pending approvals</t>
        </is>
      </c>
      <c r="B9" s="14" t="inlineStr">
        <is>
          <t>Covered</t>
        </is>
      </c>
      <c r="C9" s="14" t="inlineStr">
        <is>
          <t>Treatment_Entry.cghs_preauth_status, cghs_request_date, cghs_approval_date</t>
        </is>
      </c>
      <c r="D9" s="14" t="inlineStr">
        <is>
          <t>Derive delay days and pending counts</t>
        </is>
      </c>
      <c r="E9" s="14" t="inlineStr">
        <is>
          <t>Added in this revision.</t>
        </is>
      </c>
    </row>
    <row r="10" ht="28.5" customHeight="1">
      <c r="A10" s="14" t="inlineStr">
        <is>
          <t>RT completed / active analytics</t>
        </is>
      </c>
      <c r="B10" s="14" t="inlineStr">
        <is>
          <t>Covered</t>
        </is>
      </c>
      <c r="C10" s="14" t="inlineStr">
        <is>
          <t>Treatment_Entry.rt_status, rt_completion_date</t>
        </is>
      </c>
      <c r="D10" s="14" t="inlineStr">
        <is>
          <t>Use status plus completion date</t>
        </is>
      </c>
      <c r="E10" s="14" t="inlineStr">
        <is>
          <t>Added in this revision.</t>
        </is>
      </c>
    </row>
    <row r="11" ht="28.5" customHeight="1">
      <c r="A11" s="14" t="inlineStr">
        <is>
          <t>Time-to-treatment analytics</t>
        </is>
      </c>
      <c r="B11" s="14" t="inlineStr">
        <is>
          <t>Covered</t>
        </is>
      </c>
      <c r="C11" s="14" t="inlineStr">
        <is>
          <t>Clinical_Entry.diagnosis_date + Treatment_Entry.treatment_start_date</t>
        </is>
      </c>
      <c r="D11" s="14" t="inlineStr">
        <is>
          <t>Derive day buckets</t>
        </is>
      </c>
      <c r="E11" s="14" t="inlineStr">
        <is>
          <t>Added in this revision.</t>
        </is>
      </c>
    </row>
    <row r="12" ht="42.75" customHeight="1">
      <c r="A12" s="14" t="inlineStr">
        <is>
          <t>Outcome cards and progression analytics</t>
        </is>
      </c>
      <c r="B12" s="14" t="inlineStr">
        <is>
          <t>Covered</t>
        </is>
      </c>
      <c r="C12" s="14" t="inlineStr">
        <is>
          <t>Outcomes_Entry + PSA_History + Treatment_Entry</t>
        </is>
      </c>
      <c r="D12" s="14" t="inlineStr">
        <is>
          <t>Use outcome snapshot sheet for recurrence, nadir, CRPC progression, RT outcome</t>
        </is>
      </c>
      <c r="E12" s="14" t="inlineStr">
        <is>
          <t>Added in this revision.</t>
        </is>
      </c>
    </row>
    <row r="13" ht="42.75" customHeight="1">
      <c r="A13" s="14" t="inlineStr">
        <is>
          <t>PSA distribution and trend charts</t>
        </is>
      </c>
      <c r="B13" s="14" t="inlineStr">
        <is>
          <t>Partial</t>
        </is>
      </c>
      <c r="C13" s="14" t="inlineStr">
        <is>
          <t>PSA_History</t>
        </is>
      </c>
      <c r="D13" s="14" t="inlineStr">
        <is>
          <t>Enter diagnostic and follow-up PSA rows consistently</t>
        </is>
      </c>
      <c r="E13" s="14" t="inlineStr">
        <is>
          <t>The workbook supports capture; the analytics layer still chooses which rows drive each chart.</t>
        </is>
      </c>
    </row>
    <row r="14" ht="28.5" customHeight="1">
      <c r="A14" s="14" t="inlineStr">
        <is>
          <t>Protocol adherence radar</t>
        </is>
      </c>
      <c r="B14" s="14" t="inlineStr">
        <is>
          <t>Partial</t>
        </is>
      </c>
      <c r="C14" s="14" t="inlineStr">
        <is>
          <t>Clinical_Entry, Treatment_Entry, Care_Gap_Tracker</t>
        </is>
      </c>
      <c r="D14" s="14" t="inlineStr">
        <is>
          <t>Requires composite benchmark calculation</t>
        </is>
      </c>
      <c r="E14" s="14" t="inlineStr">
        <is>
          <t>Source fields exist; scoring logic sits outside Excel.</t>
        </is>
      </c>
    </row>
    <row r="15" ht="28.5" customHeight="1">
      <c r="A15" s="14" t="inlineStr">
        <is>
          <t>Bone-health quality donut</t>
        </is>
      </c>
      <c r="B15" s="14" t="inlineStr">
        <is>
          <t>Covered</t>
        </is>
      </c>
      <c r="C15" s="14" t="inlineStr">
        <is>
          <t>Clinical_Entry + Treatment_Entry + Care_Gap_Tracker</t>
        </is>
      </c>
      <c r="D15" s="14" t="inlineStr">
        <is>
          <t>Derive bone-gap categories from therapy / DEXA / calcium-Vit D</t>
        </is>
      </c>
      <c r="E15" s="14" t="inlineStr">
        <is>
          <t>Current workbook already holds the source fields.</t>
        </is>
      </c>
    </row>
    <row r="16">
      <c r="A16" s="14" t="inlineStr">
        <is>
          <t>Data completeness charts</t>
        </is>
      </c>
      <c r="B16" s="14" t="inlineStr">
        <is>
          <t>Covered</t>
        </is>
      </c>
      <c r="C16" s="14" t="inlineStr">
        <is>
          <t>All entry tabs + Field_Dictionary</t>
        </is>
      </c>
      <c r="D16" s="14" t="inlineStr">
        <is>
          <t>Score completion by field group</t>
        </is>
      </c>
      <c r="E16" s="14" t="inlineStr">
        <is>
          <t>Fits the workbook structure well.</t>
        </is>
      </c>
    </row>
    <row r="17" ht="28.5" customHeight="1">
      <c r="A17" s="14" t="inlineStr">
        <is>
          <t>Recently viewed patients</t>
        </is>
      </c>
      <c r="B17" s="14" t="inlineStr">
        <is>
          <t>No</t>
        </is>
      </c>
      <c r="C17" s="14" t="inlineStr">
        <is>
          <t>Not a patient master-data field</t>
        </is>
      </c>
      <c r="D17" s="14" t="inlineStr">
        <is>
          <t>Requires per-user activity log</t>
        </is>
      </c>
      <c r="E17" s="14" t="inlineStr">
        <is>
          <t>Operational UI activity, not registry data entry.</t>
        </is>
      </c>
    </row>
    <row r="18" ht="28.5" customHeight="1">
      <c r="A18" s="14" t="inlineStr">
        <is>
          <t>AI Buddy workflow</t>
        </is>
      </c>
      <c r="B18" s="14" t="inlineStr">
        <is>
          <t>No</t>
        </is>
      </c>
      <c r="C18" s="14" t="inlineStr">
        <is>
          <t>Not a row-based form</t>
        </is>
      </c>
      <c r="D18" s="14" t="inlineStr">
        <is>
          <t>Uses governed pathway engine + structured record context</t>
        </is>
      </c>
      <c r="E18" s="14" t="inlineStr">
        <is>
          <t>Outside Excel-entry scope.</t>
        </is>
      </c>
    </row>
    <row r="19" ht="42.75" customHeight="1">
      <c r="A19" s="14" t="inlineStr">
        <is>
          <t>Nudge trend lifecycle chart</t>
        </is>
      </c>
      <c r="B19" s="14" t="inlineStr">
        <is>
          <t>No</t>
        </is>
      </c>
      <c r="C19" s="14" t="inlineStr">
        <is>
          <t>Current workbook has snapshot gaps only</t>
        </is>
      </c>
      <c r="D19" s="14" t="inlineStr">
        <is>
          <t>Requires event-log sheet or application audit/nudge events</t>
        </is>
      </c>
      <c r="E19" s="14" t="inlineStr">
        <is>
          <t>This remains the main dashboard surface not representable through patient snapshot rows alone.</t>
        </is>
      </c>
    </row>
    <row r="20" ht="42.75" customHeight="1">
      <c r="A20" s="14" t="inlineStr">
        <is>
          <t>Home surfaced patient cards</t>
        </is>
      </c>
      <c r="B20" s="14" t="inlineStr">
        <is>
          <t>Partial</t>
        </is>
      </c>
      <c r="C20" s="14" t="inlineStr">
        <is>
          <t>Can be driven from Care_Gap_Tracker + case headers</t>
        </is>
      </c>
      <c r="D20" s="14" t="inlineStr">
        <is>
          <t>Needs prioritization logic and recent activity context</t>
        </is>
      </c>
      <c r="E20" s="14" t="inlineStr">
        <is>
          <t>The workbook has the clinical source data but not the UI ranking rules.</t>
        </is>
      </c>
    </row>
  </sheetData>
  <mergeCells count="2">
    <mergeCell ref="A2:E2"/>
    <mergeCell ref="A1:E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A104"/>
  <sheetViews>
    <sheetView showGridLines="0" zoomScale="80" zoomScaleNormal="80" workbookViewId="0">
      <selection activeCell="A1" sqref="A1:AA1"/>
    </sheetView>
  </sheetViews>
  <sheetFormatPr baseColWidth="8" defaultColWidth="8.875" defaultRowHeight="14.25"/>
  <cols>
    <col width="18" customWidth="1" min="1" max="1"/>
    <col width="24" customWidth="1" min="2" max="2"/>
    <col width="20" customWidth="1" min="3" max="3"/>
    <col width="22" customWidth="1" min="4" max="4"/>
    <col width="18" customWidth="1" min="5" max="6"/>
    <col width="22" customWidth="1" min="7" max="7"/>
    <col width="20" customWidth="1" min="8" max="8"/>
    <col width="24" customWidth="1" min="9" max="9"/>
    <col width="22" customWidth="1" min="10" max="10"/>
    <col width="16" customWidth="1" min="11" max="11"/>
    <col width="22" customWidth="1" min="12" max="12"/>
    <col width="14" customWidth="1" min="13" max="14"/>
    <col width="16" customWidth="1" min="15" max="15"/>
    <col width="14" customWidth="1" min="16" max="16"/>
    <col width="16" customWidth="1" min="17" max="17"/>
    <col width="18" customWidth="1" min="18" max="18"/>
    <col width="16" customWidth="1" min="19" max="20"/>
    <col width="14" customWidth="1" min="21" max="25"/>
    <col width="24" customWidth="1" min="26" max="26"/>
    <col width="32" customWidth="1" min="27" max="27"/>
  </cols>
  <sheetData>
    <row r="1" ht="15.75" customHeight="1">
      <c r="A1" s="12" t="inlineStr">
        <is>
          <t>Care Gap Tracker</t>
        </is>
      </c>
    </row>
    <row r="2">
      <c r="A2" s="13" t="inlineStr">
        <is>
          <t>Derived sheet. Rules are based on the current patient-file nudge logic for staging, bone protection, DEXA, genetics, ARSI readiness, and follow-up. The tracker uses unique patient codes only. Psychosocial screening is opened when PHQ-9 is blank or Not done so the tracker remains usable in Excel.</t>
        </is>
      </c>
    </row>
    <row r="4" ht="45" customHeight="1">
      <c r="A4" s="2" t="inlineStr">
        <is>
          <t>Unique Patient Code</t>
        </is>
      </c>
      <c r="B4" s="2" t="inlineStr">
        <is>
          <t>Healthcare Coverage</t>
        </is>
      </c>
      <c r="C4" s="2" t="inlineStr">
        <is>
          <t>Risk Category</t>
        </is>
      </c>
      <c r="D4" s="2" t="inlineStr">
        <is>
          <t>Castration Status</t>
        </is>
      </c>
      <c r="E4" s="2" t="inlineStr">
        <is>
          <t>Bone Scan / SPECT</t>
        </is>
      </c>
      <c r="F4" s="2" t="inlineStr">
        <is>
          <t>PSMA PET-CT</t>
        </is>
      </c>
      <c r="G4" s="2" t="inlineStr">
        <is>
          <t>Bone Protection Therapy</t>
        </is>
      </c>
      <c r="H4" s="2" t="inlineStr">
        <is>
          <t>DEXA Bone Density</t>
        </is>
      </c>
      <c r="I4" s="2" t="inlineStr">
        <is>
          <t>Germline / Somatic Testing</t>
        </is>
      </c>
      <c r="J4" s="2" t="inlineStr">
        <is>
          <t>ARSI Intensification</t>
        </is>
      </c>
      <c r="K4" s="2" t="inlineStr">
        <is>
          <t>Next Follow-up PSA Date</t>
        </is>
      </c>
      <c r="L4" s="2" t="inlineStr">
        <is>
          <t>Psychosocial Screening (PHQ-9)</t>
        </is>
      </c>
      <c r="M4" s="2" t="inlineStr">
        <is>
          <t>Urgent: Bone Scan Missing</t>
        </is>
      </c>
      <c r="N4" s="2" t="inlineStr">
        <is>
          <t>Urgent: PSMA Missing</t>
        </is>
      </c>
      <c r="O4" s="2" t="inlineStr">
        <is>
          <t>Urgent: Bone Protection Missing</t>
        </is>
      </c>
      <c r="P4" s="2" t="inlineStr">
        <is>
          <t>Warning: DEXA Missing</t>
        </is>
      </c>
      <c r="Q4" s="2" t="inlineStr">
        <is>
          <t>Warning: Genetics Missing</t>
        </is>
      </c>
      <c r="R4" s="2" t="inlineStr">
        <is>
          <t>Warning: ARSI Readiness Gap</t>
        </is>
      </c>
      <c r="S4" s="2" t="inlineStr">
        <is>
          <t>Info: Follow-up Missing</t>
        </is>
      </c>
      <c r="T4" s="2" t="inlineStr">
        <is>
          <t>Info: Psychosocial Prompt</t>
        </is>
      </c>
      <c r="U4" s="2" t="inlineStr">
        <is>
          <t>Urgent Gap Count</t>
        </is>
      </c>
      <c r="V4" s="2" t="inlineStr">
        <is>
          <t>Warning Gap Count</t>
        </is>
      </c>
      <c r="W4" s="2" t="inlineStr">
        <is>
          <t>Info Gap Count</t>
        </is>
      </c>
      <c r="X4" s="2" t="inlineStr">
        <is>
          <t>Total Open Gaps</t>
        </is>
      </c>
      <c r="Y4" s="2" t="inlineStr">
        <is>
          <t>Highest Severity</t>
        </is>
      </c>
      <c r="Z4" s="2" t="inlineStr">
        <is>
          <t>Primary Gap Focus</t>
        </is>
      </c>
      <c r="AA4" s="2" t="inlineStr">
        <is>
          <t>Care Gap Summary</t>
        </is>
      </c>
    </row>
    <row r="5" ht="28.5" customHeight="1">
      <c r="A5" s="6">
        <f>IF(Demographics_Entry!$A5="","",Demographics_Entry!$A5)</f>
        <v/>
      </c>
      <c r="B5" s="6">
        <f>IF($A5="","",IFERROR(INDEX(Demographics_Entry!$E$5:$E$104,MATCH($A5,Demographics_Entry!$A$5:$A$104,0)),""))</f>
        <v/>
      </c>
      <c r="C5" s="6">
        <f>IF($A5="","",IFERROR(INDEX(Clinical_Entry!$U$5:$U$104,MATCH($A5,Clinical_Entry!$A$5:$A$104,0)),""))</f>
        <v/>
      </c>
      <c r="D5" s="6">
        <f>IF($A5="","",IFERROR(INDEX(Clinical_Entry!$W$5:$W$104,MATCH($A5,Clinical_Entry!$A$5:$A$104,0)),""))</f>
        <v/>
      </c>
      <c r="E5" s="6">
        <f>IF($A5="","",IFERROR(INDEX(Clinical_Entry!$Y$5:$Y$104,MATCH($A5,Clinical_Entry!$A$5:$A$104,0)),""))</f>
        <v/>
      </c>
      <c r="F5" s="6">
        <f>IF($A5="","",IFERROR(INDEX(Clinical_Entry!$Z$5:$Z$104,MATCH($A5,Clinical_Entry!$A$5:$A$104,0)),""))</f>
        <v/>
      </c>
      <c r="G5" s="6">
        <f>IF($A5="","",IFERROR(INDEX(Treatment_Entry!$AA$5:$AA$104,MATCH($A5,Treatment_Entry!$A$5:$A$104,0)),""))</f>
        <v/>
      </c>
      <c r="H5" s="6">
        <f>IF($A5="","",IFERROR(INDEX(Clinical_Entry!$AB$5:$AB$104,MATCH($A5,Clinical_Entry!$A$5:$A$104,0)),""))</f>
        <v/>
      </c>
      <c r="I5" s="6">
        <f>IF($A5="","",IFERROR(INDEX(Clinical_Entry!$AC$5:$AC$104,MATCH($A5,Clinical_Entry!$A$5:$A$104,0)),""))</f>
        <v/>
      </c>
      <c r="J5" s="6">
        <f>IF($A5="","",IFERROR(INDEX(Treatment_Entry!$K$5:$K$104,MATCH($A5,Treatment_Entry!$A$5:$A$104,0)),""))</f>
        <v/>
      </c>
      <c r="K5" s="7">
        <f>IF($A5="","",IFERROR(INDEX(Treatment_Entry!$AC$5:$AC$104,MATCH($A5,Treatment_Entry!$A$5:$A$104,0)),""))</f>
        <v/>
      </c>
      <c r="L5" s="6">
        <f>IF($A5="","",IFERROR(INDEX(Treatment_Entry!$AE$5:$AE$104,MATCH($A5,Treatment_Entry!$A$5:$A$104,0)),""))</f>
        <v/>
      </c>
      <c r="M5" s="8">
        <f>IF($A5="","",IF(AND($E5="Not done",OR($C5="High",$C5="Very High / Locally Advanced",LEFT($C5,2)="M1")),1,0))</f>
        <v/>
      </c>
      <c r="N5" s="8">
        <f>IF($A5="","",IF(AND($F5="Not done",OR($C5="High",$C5="Very High / Locally Advanced")),1,0))</f>
        <v/>
      </c>
      <c r="O5" s="8">
        <f>IF($A5="","",IF($G5="Not started",1,0))</f>
        <v/>
      </c>
      <c r="P5" s="8">
        <f>IF($A5="","",IF($H5="Not done",1,0))</f>
        <v/>
      </c>
      <c r="Q5" s="8">
        <f>IF($A5="","",IF($I5="Not done",1,0))</f>
        <v/>
      </c>
      <c r="R5" s="8">
        <f>IF($A5="","",IF(AND($D5="Hormone-sensitive (HSPC)",$C5="High",$J5="Not initiated"),1,0))</f>
        <v/>
      </c>
      <c r="S5" s="8">
        <f>IF($A5="","",IF($K5="",1,0))</f>
        <v/>
      </c>
      <c r="T5" s="8">
        <f>IF($A5="","",IF(OR($L5="",$L5="Not done"),1,0))</f>
        <v/>
      </c>
      <c r="U5" s="8">
        <f>IF($A5="","",SUM($M5:$O5))</f>
        <v/>
      </c>
      <c r="V5" s="8">
        <f>IF($A5="","",SUM($P5:$R5))</f>
        <v/>
      </c>
      <c r="W5" s="8">
        <f>IF($A5="","",SUM($S5:$T5))</f>
        <v/>
      </c>
      <c r="X5" s="8">
        <f>IF($A5="","",SUM($U5:$W5))</f>
        <v/>
      </c>
      <c r="Y5" s="6">
        <f>IF($A5="","",IF($U5&gt;0,"Urgent",IF($V5&gt;0,"Warning",IF($W5&gt;0,"Info","Closed"))))</f>
        <v/>
      </c>
      <c r="Z5" s="6">
        <f>IF($A5="","",IF($M5=1,"Complete bone scan / SPECT",IF($N5=1,"Complete PSMA PET-CT",IF($O5=1,"Start bone protection plan",IF($P5=1,"Order DEXA",IF($Q5=1,"Order genomics",IF($R5=1,"Review ARSI intensification",IF($S5=1,"Schedule follow-up PSA",IF($T5=1,"Document psychosocial screening","No open gap")))))))))</f>
        <v/>
      </c>
      <c r="AA5" s="6">
        <f>IF($A5="","",IF($X5=0,"No open care gaps",$Y5&amp;" priority · "&amp;$Z5))</f>
        <v/>
      </c>
    </row>
    <row r="6" ht="42.75" customHeight="1">
      <c r="A6" s="6">
        <f>IF(Demographics_Entry!$A6="","",Demographics_Entry!$A6)</f>
        <v/>
      </c>
      <c r="B6" s="6">
        <f>IF($A6="","",IFERROR(INDEX(Demographics_Entry!$E$5:$E$104,MATCH($A6,Demographics_Entry!$A$5:$A$104,0)),""))</f>
        <v/>
      </c>
      <c r="C6" s="6">
        <f>IF($A6="","",IFERROR(INDEX(Clinical_Entry!$U$5:$U$104,MATCH($A6,Clinical_Entry!$A$5:$A$104,0)),""))</f>
        <v/>
      </c>
      <c r="D6" s="6">
        <f>IF($A6="","",IFERROR(INDEX(Clinical_Entry!$W$5:$W$104,MATCH($A6,Clinical_Entry!$A$5:$A$104,0)),""))</f>
        <v/>
      </c>
      <c r="E6" s="6">
        <f>IF($A6="","",IFERROR(INDEX(Clinical_Entry!$Y$5:$Y$104,MATCH($A6,Clinical_Entry!$A$5:$A$104,0)),""))</f>
        <v/>
      </c>
      <c r="F6" s="6">
        <f>IF($A6="","",IFERROR(INDEX(Clinical_Entry!$Z$5:$Z$104,MATCH($A6,Clinical_Entry!$A$5:$A$104,0)),""))</f>
        <v/>
      </c>
      <c r="G6" s="6">
        <f>IF($A6="","",IFERROR(INDEX(Treatment_Entry!$AA$5:$AA$104,MATCH($A6,Treatment_Entry!$A$5:$A$104,0)),""))</f>
        <v/>
      </c>
      <c r="H6" s="6">
        <f>IF($A6="","",IFERROR(INDEX(Clinical_Entry!$AB$5:$AB$104,MATCH($A6,Clinical_Entry!$A$5:$A$104,0)),""))</f>
        <v/>
      </c>
      <c r="I6" s="6">
        <f>IF($A6="","",IFERROR(INDEX(Clinical_Entry!$AC$5:$AC$104,MATCH($A6,Clinical_Entry!$A$5:$A$104,0)),""))</f>
        <v/>
      </c>
      <c r="J6" s="6">
        <f>IF($A6="","",IFERROR(INDEX(Treatment_Entry!$K$5:$K$104,MATCH($A6,Treatment_Entry!$A$5:$A$104,0)),""))</f>
        <v/>
      </c>
      <c r="K6" s="7">
        <f>IF($A6="","",IFERROR(INDEX(Treatment_Entry!$AC$5:$AC$104,MATCH($A6,Treatment_Entry!$A$5:$A$104,0)),""))</f>
        <v/>
      </c>
      <c r="L6" s="6">
        <f>IF($A6="","",IFERROR(INDEX(Treatment_Entry!$AE$5:$AE$104,MATCH($A6,Treatment_Entry!$A$5:$A$104,0)),""))</f>
        <v/>
      </c>
      <c r="M6" s="8">
        <f>IF($A6="","",IF(AND($E6="Not done",OR($C6="High",$C6="Very High / Locally Advanced",LEFT($C6,2)="M1")),1,0))</f>
        <v/>
      </c>
      <c r="N6" s="8">
        <f>IF($A6="","",IF(AND($F6="Not done",OR($C6="High",$C6="Very High / Locally Advanced")),1,0))</f>
        <v/>
      </c>
      <c r="O6" s="8">
        <f>IF($A6="","",IF($G6="Not started",1,0))</f>
        <v/>
      </c>
      <c r="P6" s="8">
        <f>IF($A6="","",IF($H6="Not done",1,0))</f>
        <v/>
      </c>
      <c r="Q6" s="8">
        <f>IF($A6="","",IF($I6="Not done",1,0))</f>
        <v/>
      </c>
      <c r="R6" s="8">
        <f>IF($A6="","",IF(AND($D6="Hormone-sensitive (HSPC)",$C6="High",$J6="Not initiated"),1,0))</f>
        <v/>
      </c>
      <c r="S6" s="8">
        <f>IF($A6="","",IF($K6="",1,0))</f>
        <v/>
      </c>
      <c r="T6" s="8">
        <f>IF($A6="","",IF(OR($L6="",$L6="Not done"),1,0))</f>
        <v/>
      </c>
      <c r="U6" s="8">
        <f>IF($A6="","",SUM($M6:$O6))</f>
        <v/>
      </c>
      <c r="V6" s="8">
        <f>IF($A6="","",SUM($P6:$R6))</f>
        <v/>
      </c>
      <c r="W6" s="8">
        <f>IF($A6="","",SUM($S6:$T6))</f>
        <v/>
      </c>
      <c r="X6" s="8">
        <f>IF($A6="","",SUM($U6:$W6))</f>
        <v/>
      </c>
      <c r="Y6" s="6">
        <f>IF($A6="","",IF($U6&gt;0,"Urgent",IF($V6&gt;0,"Warning",IF($W6&gt;0,"Info","Closed"))))</f>
        <v/>
      </c>
      <c r="Z6" s="6">
        <f>IF($A6="","",IF($M6=1,"Complete bone scan / SPECT",IF($N6=1,"Complete PSMA PET-CT",IF($O6=1,"Start bone protection plan",IF($P6=1,"Order DEXA",IF($Q6=1,"Order genomics",IF($R6=1,"Review ARSI intensification",IF($S6=1,"Schedule follow-up PSA",IF($T6=1,"Document psychosocial screening","No open gap")))))))))</f>
        <v/>
      </c>
      <c r="AA6" s="6">
        <f>IF($A6="","",IF($X6=0,"No open care gaps",$Y6&amp;" priority · "&amp;$Z6))</f>
        <v/>
      </c>
    </row>
    <row r="7" ht="28.5" customHeight="1">
      <c r="A7" s="6">
        <f>IF(Demographics_Entry!$A7="","",Demographics_Entry!$A7)</f>
        <v/>
      </c>
      <c r="B7" s="6">
        <f>IF($A7="","",IFERROR(INDEX(Demographics_Entry!$E$5:$E$104,MATCH($A7,Demographics_Entry!$A$5:$A$104,0)),""))</f>
        <v/>
      </c>
      <c r="C7" s="6">
        <f>IF($A7="","",IFERROR(INDEX(Clinical_Entry!$U$5:$U$104,MATCH($A7,Clinical_Entry!$A$5:$A$104,0)),""))</f>
        <v/>
      </c>
      <c r="D7" s="6">
        <f>IF($A7="","",IFERROR(INDEX(Clinical_Entry!$W$5:$W$104,MATCH($A7,Clinical_Entry!$A$5:$A$104,0)),""))</f>
        <v/>
      </c>
      <c r="E7" s="6">
        <f>IF($A7="","",IFERROR(INDEX(Clinical_Entry!$Y$5:$Y$104,MATCH($A7,Clinical_Entry!$A$5:$A$104,0)),""))</f>
        <v/>
      </c>
      <c r="F7" s="6">
        <f>IF($A7="","",IFERROR(INDEX(Clinical_Entry!$Z$5:$Z$104,MATCH($A7,Clinical_Entry!$A$5:$A$104,0)),""))</f>
        <v/>
      </c>
      <c r="G7" s="6">
        <f>IF($A7="","",IFERROR(INDEX(Treatment_Entry!$AA$5:$AA$104,MATCH($A7,Treatment_Entry!$A$5:$A$104,0)),""))</f>
        <v/>
      </c>
      <c r="H7" s="6">
        <f>IF($A7="","",IFERROR(INDEX(Clinical_Entry!$AB$5:$AB$104,MATCH($A7,Clinical_Entry!$A$5:$A$104,0)),""))</f>
        <v/>
      </c>
      <c r="I7" s="6">
        <f>IF($A7="","",IFERROR(INDEX(Clinical_Entry!$AC$5:$AC$104,MATCH($A7,Clinical_Entry!$A$5:$A$104,0)),""))</f>
        <v/>
      </c>
      <c r="J7" s="6">
        <f>IF($A7="","",IFERROR(INDEX(Treatment_Entry!$K$5:$K$104,MATCH($A7,Treatment_Entry!$A$5:$A$104,0)),""))</f>
        <v/>
      </c>
      <c r="K7" s="7">
        <f>IF($A7="","",IFERROR(INDEX(Treatment_Entry!$AC$5:$AC$104,MATCH($A7,Treatment_Entry!$A$5:$A$104,0)),""))</f>
        <v/>
      </c>
      <c r="L7" s="6">
        <f>IF($A7="","",IFERROR(INDEX(Treatment_Entry!$AE$5:$AE$104,MATCH($A7,Treatment_Entry!$A$5:$A$104,0)),""))</f>
        <v/>
      </c>
      <c r="M7" s="8">
        <f>IF($A7="","",IF(AND($E7="Not done",OR($C7="High",$C7="Very High / Locally Advanced",LEFT($C7,2)="M1")),1,0))</f>
        <v/>
      </c>
      <c r="N7" s="8">
        <f>IF($A7="","",IF(AND($F7="Not done",OR($C7="High",$C7="Very High / Locally Advanced")),1,0))</f>
        <v/>
      </c>
      <c r="O7" s="8">
        <f>IF($A7="","",IF($G7="Not started",1,0))</f>
        <v/>
      </c>
      <c r="P7" s="8">
        <f>IF($A7="","",IF($H7="Not done",1,0))</f>
        <v/>
      </c>
      <c r="Q7" s="8">
        <f>IF($A7="","",IF($I7="Not done",1,0))</f>
        <v/>
      </c>
      <c r="R7" s="8">
        <f>IF($A7="","",IF(AND($D7="Hormone-sensitive (HSPC)",$C7="High",$J7="Not initiated"),1,0))</f>
        <v/>
      </c>
      <c r="S7" s="8">
        <f>IF($A7="","",IF($K7="",1,0))</f>
        <v/>
      </c>
      <c r="T7" s="8">
        <f>IF($A7="","",IF(OR($L7="",$L7="Not done"),1,0))</f>
        <v/>
      </c>
      <c r="U7" s="8">
        <f>IF($A7="","",SUM($M7:$O7))</f>
        <v/>
      </c>
      <c r="V7" s="8">
        <f>IF($A7="","",SUM($P7:$R7))</f>
        <v/>
      </c>
      <c r="W7" s="8">
        <f>IF($A7="","",SUM($S7:$T7))</f>
        <v/>
      </c>
      <c r="X7" s="8">
        <f>IF($A7="","",SUM($U7:$W7))</f>
        <v/>
      </c>
      <c r="Y7" s="6">
        <f>IF($A7="","",IF($U7&gt;0,"Urgent",IF($V7&gt;0,"Warning",IF($W7&gt;0,"Info","Closed"))))</f>
        <v/>
      </c>
      <c r="Z7" s="6">
        <f>IF($A7="","",IF($M7=1,"Complete bone scan / SPECT",IF($N7=1,"Complete PSMA PET-CT",IF($O7=1,"Start bone protection plan",IF($P7=1,"Order DEXA",IF($Q7=1,"Order genomics",IF($R7=1,"Review ARSI intensification",IF($S7=1,"Schedule follow-up PSA",IF($T7=1,"Document psychosocial screening","No open gap")))))))))</f>
        <v/>
      </c>
      <c r="AA7" s="6">
        <f>IF($A7="","",IF($X7=0,"No open care gaps",$Y7&amp;" priority · "&amp;$Z7))</f>
        <v/>
      </c>
    </row>
    <row r="8" ht="28.5" customHeight="1">
      <c r="A8" s="6">
        <f>IF(Demographics_Entry!$A8="","",Demographics_Entry!$A8)</f>
        <v/>
      </c>
      <c r="B8" s="6">
        <f>IF($A8="","",IFERROR(INDEX(Demographics_Entry!$E$5:$E$104,MATCH($A8,Demographics_Entry!$A$5:$A$104,0)),""))</f>
        <v/>
      </c>
      <c r="C8" s="6">
        <f>IF($A8="","",IFERROR(INDEX(Clinical_Entry!$U$5:$U$104,MATCH($A8,Clinical_Entry!$A$5:$A$104,0)),""))</f>
        <v/>
      </c>
      <c r="D8" s="6">
        <f>IF($A8="","",IFERROR(INDEX(Clinical_Entry!$W$5:$W$104,MATCH($A8,Clinical_Entry!$A$5:$A$104,0)),""))</f>
        <v/>
      </c>
      <c r="E8" s="6">
        <f>IF($A8="","",IFERROR(INDEX(Clinical_Entry!$Y$5:$Y$104,MATCH($A8,Clinical_Entry!$A$5:$A$104,0)),""))</f>
        <v/>
      </c>
      <c r="F8" s="6">
        <f>IF($A8="","",IFERROR(INDEX(Clinical_Entry!$Z$5:$Z$104,MATCH($A8,Clinical_Entry!$A$5:$A$104,0)),""))</f>
        <v/>
      </c>
      <c r="G8" s="6">
        <f>IF($A8="","",IFERROR(INDEX(Treatment_Entry!$AA$5:$AA$104,MATCH($A8,Treatment_Entry!$A$5:$A$104,0)),""))</f>
        <v/>
      </c>
      <c r="H8" s="6">
        <f>IF($A8="","",IFERROR(INDEX(Clinical_Entry!$AB$5:$AB$104,MATCH($A8,Clinical_Entry!$A$5:$A$104,0)),""))</f>
        <v/>
      </c>
      <c r="I8" s="6">
        <f>IF($A8="","",IFERROR(INDEX(Clinical_Entry!$AC$5:$AC$104,MATCH($A8,Clinical_Entry!$A$5:$A$104,0)),""))</f>
        <v/>
      </c>
      <c r="J8" s="6">
        <f>IF($A8="","",IFERROR(INDEX(Treatment_Entry!$K$5:$K$104,MATCH($A8,Treatment_Entry!$A$5:$A$104,0)),""))</f>
        <v/>
      </c>
      <c r="K8" s="7">
        <f>IF($A8="","",IFERROR(INDEX(Treatment_Entry!$AC$5:$AC$104,MATCH($A8,Treatment_Entry!$A$5:$A$104,0)),""))</f>
        <v/>
      </c>
      <c r="L8" s="6">
        <f>IF($A8="","",IFERROR(INDEX(Treatment_Entry!$AE$5:$AE$104,MATCH($A8,Treatment_Entry!$A$5:$A$104,0)),""))</f>
        <v/>
      </c>
      <c r="M8" s="8">
        <f>IF($A8="","",IF(AND($E8="Not done",OR($C8="High",$C8="Very High / Locally Advanced",LEFT($C8,2)="M1")),1,0))</f>
        <v/>
      </c>
      <c r="N8" s="8">
        <f>IF($A8="","",IF(AND($F8="Not done",OR($C8="High",$C8="Very High / Locally Advanced")),1,0))</f>
        <v/>
      </c>
      <c r="O8" s="8">
        <f>IF($A8="","",IF($G8="Not started",1,0))</f>
        <v/>
      </c>
      <c r="P8" s="8">
        <f>IF($A8="","",IF($H8="Not done",1,0))</f>
        <v/>
      </c>
      <c r="Q8" s="8">
        <f>IF($A8="","",IF($I8="Not done",1,0))</f>
        <v/>
      </c>
      <c r="R8" s="8">
        <f>IF($A8="","",IF(AND($D8="Hormone-sensitive (HSPC)",$C8="High",$J8="Not initiated"),1,0))</f>
        <v/>
      </c>
      <c r="S8" s="8">
        <f>IF($A8="","",IF($K8="",1,0))</f>
        <v/>
      </c>
      <c r="T8" s="8">
        <f>IF($A8="","",IF(OR($L8="",$L8="Not done"),1,0))</f>
        <v/>
      </c>
      <c r="U8" s="8">
        <f>IF($A8="","",SUM($M8:$O8))</f>
        <v/>
      </c>
      <c r="V8" s="8">
        <f>IF($A8="","",SUM($P8:$R8))</f>
        <v/>
      </c>
      <c r="W8" s="8">
        <f>IF($A8="","",SUM($S8:$T8))</f>
        <v/>
      </c>
      <c r="X8" s="8">
        <f>IF($A8="","",SUM($U8:$W8))</f>
        <v/>
      </c>
      <c r="Y8" s="6">
        <f>IF($A8="","",IF($U8&gt;0,"Urgent",IF($V8&gt;0,"Warning",IF($W8&gt;0,"Info","Closed"))))</f>
        <v/>
      </c>
      <c r="Z8" s="6">
        <f>IF($A8="","",IF($M8=1,"Complete bone scan / SPECT",IF($N8=1,"Complete PSMA PET-CT",IF($O8=1,"Start bone protection plan",IF($P8=1,"Order DEXA",IF($Q8=1,"Order genomics",IF($R8=1,"Review ARSI intensification",IF($S8=1,"Schedule follow-up PSA",IF($T8=1,"Document psychosocial screening","No open gap")))))))))</f>
        <v/>
      </c>
      <c r="AA8" s="6">
        <f>IF($A8="","",IF($X8=0,"No open care gaps",$Y8&amp;" priority · "&amp;$Z8))</f>
        <v/>
      </c>
    </row>
    <row r="9">
      <c r="A9" s="6">
        <f>IF(Demographics_Entry!$A9="","",Demographics_Entry!$A9)</f>
        <v/>
      </c>
      <c r="B9" s="6">
        <f>IF($A9="","",IFERROR(INDEX(Demographics_Entry!$E$5:$E$104,MATCH($A9,Demographics_Entry!$A$5:$A$104,0)),""))</f>
        <v/>
      </c>
      <c r="C9" s="6">
        <f>IF($A9="","",IFERROR(INDEX(Clinical_Entry!$U$5:$U$104,MATCH($A9,Clinical_Entry!$A$5:$A$104,0)),""))</f>
        <v/>
      </c>
      <c r="D9" s="6">
        <f>IF($A9="","",IFERROR(INDEX(Clinical_Entry!$W$5:$W$104,MATCH($A9,Clinical_Entry!$A$5:$A$104,0)),""))</f>
        <v/>
      </c>
      <c r="E9" s="6">
        <f>IF($A9="","",IFERROR(INDEX(Clinical_Entry!$Y$5:$Y$104,MATCH($A9,Clinical_Entry!$A$5:$A$104,0)),""))</f>
        <v/>
      </c>
      <c r="F9" s="6">
        <f>IF($A9="","",IFERROR(INDEX(Clinical_Entry!$Z$5:$Z$104,MATCH($A9,Clinical_Entry!$A$5:$A$104,0)),""))</f>
        <v/>
      </c>
      <c r="G9" s="6">
        <f>IF($A9="","",IFERROR(INDEX(Treatment_Entry!$AA$5:$AA$104,MATCH($A9,Treatment_Entry!$A$5:$A$104,0)),""))</f>
        <v/>
      </c>
      <c r="H9" s="6">
        <f>IF($A9="","",IFERROR(INDEX(Clinical_Entry!$AB$5:$AB$104,MATCH($A9,Clinical_Entry!$A$5:$A$104,0)),""))</f>
        <v/>
      </c>
      <c r="I9" s="6">
        <f>IF($A9="","",IFERROR(INDEX(Clinical_Entry!$AC$5:$AC$104,MATCH($A9,Clinical_Entry!$A$5:$A$104,0)),""))</f>
        <v/>
      </c>
      <c r="J9" s="6">
        <f>IF($A9="","",IFERROR(INDEX(Treatment_Entry!$K$5:$K$104,MATCH($A9,Treatment_Entry!$A$5:$A$104,0)),""))</f>
        <v/>
      </c>
      <c r="K9" s="7">
        <f>IF($A9="","",IFERROR(INDEX(Treatment_Entry!$AC$5:$AC$104,MATCH($A9,Treatment_Entry!$A$5:$A$104,0)),""))</f>
        <v/>
      </c>
      <c r="L9" s="6">
        <f>IF($A9="","",IFERROR(INDEX(Treatment_Entry!$AE$5:$AE$104,MATCH($A9,Treatment_Entry!$A$5:$A$104,0)),""))</f>
        <v/>
      </c>
      <c r="M9" s="8">
        <f>IF($A9="","",IF(AND($E9="Not done",OR($C9="High",$C9="Very High / Locally Advanced",LEFT($C9,2)="M1")),1,0))</f>
        <v/>
      </c>
      <c r="N9" s="8">
        <f>IF($A9="","",IF(AND($F9="Not done",OR($C9="High",$C9="Very High / Locally Advanced")),1,0))</f>
        <v/>
      </c>
      <c r="O9" s="8">
        <f>IF($A9="","",IF($G9="Not started",1,0))</f>
        <v/>
      </c>
      <c r="P9" s="8">
        <f>IF($A9="","",IF($H9="Not done",1,0))</f>
        <v/>
      </c>
      <c r="Q9" s="8">
        <f>IF($A9="","",IF($I9="Not done",1,0))</f>
        <v/>
      </c>
      <c r="R9" s="8">
        <f>IF($A9="","",IF(AND($D9="Hormone-sensitive (HSPC)",$C9="High",$J9="Not initiated"),1,0))</f>
        <v/>
      </c>
      <c r="S9" s="8">
        <f>IF($A9="","",IF($K9="",1,0))</f>
        <v/>
      </c>
      <c r="T9" s="8">
        <f>IF($A9="","",IF(OR($L9="",$L9="Not done"),1,0))</f>
        <v/>
      </c>
      <c r="U9" s="8">
        <f>IF($A9="","",SUM($M9:$O9))</f>
        <v/>
      </c>
      <c r="V9" s="8">
        <f>IF($A9="","",SUM($P9:$R9))</f>
        <v/>
      </c>
      <c r="W9" s="8">
        <f>IF($A9="","",SUM($S9:$T9))</f>
        <v/>
      </c>
      <c r="X9" s="8">
        <f>IF($A9="","",SUM($U9:$W9))</f>
        <v/>
      </c>
      <c r="Y9" s="6">
        <f>IF($A9="","",IF($U9&gt;0,"Urgent",IF($V9&gt;0,"Warning",IF($W9&gt;0,"Info","Closed"))))</f>
        <v/>
      </c>
      <c r="Z9" s="6">
        <f>IF($A9="","",IF($M9=1,"Complete bone scan / SPECT",IF($N9=1,"Complete PSMA PET-CT",IF($O9=1,"Start bone protection plan",IF($P9=1,"Order DEXA",IF($Q9=1,"Order genomics",IF($R9=1,"Review ARSI intensification",IF($S9=1,"Schedule follow-up PSA",IF($T9=1,"Document psychosocial screening","No open gap")))))))))</f>
        <v/>
      </c>
      <c r="AA9" s="6">
        <f>IF($A9="","",IF($X9=0,"No open care gaps",$Y9&amp;" priority · "&amp;$Z9))</f>
        <v/>
      </c>
    </row>
    <row r="10">
      <c r="A10" s="6">
        <f>IF(Demographics_Entry!$A10="","",Demographics_Entry!$A10)</f>
        <v/>
      </c>
      <c r="B10" s="6">
        <f>IF($A10="","",IFERROR(INDEX(Demographics_Entry!$E$5:$E$104,MATCH($A10,Demographics_Entry!$A$5:$A$104,0)),""))</f>
        <v/>
      </c>
      <c r="C10" s="6">
        <f>IF($A10="","",IFERROR(INDEX(Clinical_Entry!$U$5:$U$104,MATCH($A10,Clinical_Entry!$A$5:$A$104,0)),""))</f>
        <v/>
      </c>
      <c r="D10" s="6">
        <f>IF($A10="","",IFERROR(INDEX(Clinical_Entry!$W$5:$W$104,MATCH($A10,Clinical_Entry!$A$5:$A$104,0)),""))</f>
        <v/>
      </c>
      <c r="E10" s="6">
        <f>IF($A10="","",IFERROR(INDEX(Clinical_Entry!$Y$5:$Y$104,MATCH($A10,Clinical_Entry!$A$5:$A$104,0)),""))</f>
        <v/>
      </c>
      <c r="F10" s="6">
        <f>IF($A10="","",IFERROR(INDEX(Clinical_Entry!$Z$5:$Z$104,MATCH($A10,Clinical_Entry!$A$5:$A$104,0)),""))</f>
        <v/>
      </c>
      <c r="G10" s="6">
        <f>IF($A10="","",IFERROR(INDEX(Treatment_Entry!$AA$5:$AA$104,MATCH($A10,Treatment_Entry!$A$5:$A$104,0)),""))</f>
        <v/>
      </c>
      <c r="H10" s="6">
        <f>IF($A10="","",IFERROR(INDEX(Clinical_Entry!$AB$5:$AB$104,MATCH($A10,Clinical_Entry!$A$5:$A$104,0)),""))</f>
        <v/>
      </c>
      <c r="I10" s="6">
        <f>IF($A10="","",IFERROR(INDEX(Clinical_Entry!$AC$5:$AC$104,MATCH($A10,Clinical_Entry!$A$5:$A$104,0)),""))</f>
        <v/>
      </c>
      <c r="J10" s="6">
        <f>IF($A10="","",IFERROR(INDEX(Treatment_Entry!$K$5:$K$104,MATCH($A10,Treatment_Entry!$A$5:$A$104,0)),""))</f>
        <v/>
      </c>
      <c r="K10" s="7">
        <f>IF($A10="","",IFERROR(INDEX(Treatment_Entry!$AC$5:$AC$104,MATCH($A10,Treatment_Entry!$A$5:$A$104,0)),""))</f>
        <v/>
      </c>
      <c r="L10" s="6">
        <f>IF($A10="","",IFERROR(INDEX(Treatment_Entry!$AE$5:$AE$104,MATCH($A10,Treatment_Entry!$A$5:$A$104,0)),""))</f>
        <v/>
      </c>
      <c r="M10" s="8">
        <f>IF($A10="","",IF(AND($E10="Not done",OR($C10="High",$C10="Very High / Locally Advanced",LEFT($C10,2)="M1")),1,0))</f>
        <v/>
      </c>
      <c r="N10" s="8">
        <f>IF($A10="","",IF(AND($F10="Not done",OR($C10="High",$C10="Very High / Locally Advanced")),1,0))</f>
        <v/>
      </c>
      <c r="O10" s="8">
        <f>IF($A10="","",IF($G10="Not started",1,0))</f>
        <v/>
      </c>
      <c r="P10" s="8">
        <f>IF($A10="","",IF($H10="Not done",1,0))</f>
        <v/>
      </c>
      <c r="Q10" s="8">
        <f>IF($A10="","",IF($I10="Not done",1,0))</f>
        <v/>
      </c>
      <c r="R10" s="8">
        <f>IF($A10="","",IF(AND($D10="Hormone-sensitive (HSPC)",$C10="High",$J10="Not initiated"),1,0))</f>
        <v/>
      </c>
      <c r="S10" s="8">
        <f>IF($A10="","",IF($K10="",1,0))</f>
        <v/>
      </c>
      <c r="T10" s="8">
        <f>IF($A10="","",IF(OR($L10="",$L10="Not done"),1,0))</f>
        <v/>
      </c>
      <c r="U10" s="8">
        <f>IF($A10="","",SUM($M10:$O10))</f>
        <v/>
      </c>
      <c r="V10" s="8">
        <f>IF($A10="","",SUM($P10:$R10))</f>
        <v/>
      </c>
      <c r="W10" s="8">
        <f>IF($A10="","",SUM($S10:$T10))</f>
        <v/>
      </c>
      <c r="X10" s="8">
        <f>IF($A10="","",SUM($U10:$W10))</f>
        <v/>
      </c>
      <c r="Y10" s="6">
        <f>IF($A10="","",IF($U10&gt;0,"Urgent",IF($V10&gt;0,"Warning",IF($W10&gt;0,"Info","Closed"))))</f>
        <v/>
      </c>
      <c r="Z10" s="6">
        <f>IF($A10="","",IF($M10=1,"Complete bone scan / SPECT",IF($N10=1,"Complete PSMA PET-CT",IF($O10=1,"Start bone protection plan",IF($P10=1,"Order DEXA",IF($Q10=1,"Order genomics",IF($R10=1,"Review ARSI intensification",IF($S10=1,"Schedule follow-up PSA",IF($T10=1,"Document psychosocial screening","No open gap")))))))))</f>
        <v/>
      </c>
      <c r="AA10" s="6">
        <f>IF($A10="","",IF($X10=0,"No open care gaps",$Y10&amp;" priority · "&amp;$Z10))</f>
        <v/>
      </c>
    </row>
    <row r="11">
      <c r="A11" s="6">
        <f>IF(Demographics_Entry!$A11="","",Demographics_Entry!$A11)</f>
        <v/>
      </c>
      <c r="B11" s="6">
        <f>IF($A11="","",IFERROR(INDEX(Demographics_Entry!$E$5:$E$104,MATCH($A11,Demographics_Entry!$A$5:$A$104,0)),""))</f>
        <v/>
      </c>
      <c r="C11" s="6">
        <f>IF($A11="","",IFERROR(INDEX(Clinical_Entry!$U$5:$U$104,MATCH($A11,Clinical_Entry!$A$5:$A$104,0)),""))</f>
        <v/>
      </c>
      <c r="D11" s="6">
        <f>IF($A11="","",IFERROR(INDEX(Clinical_Entry!$W$5:$W$104,MATCH($A11,Clinical_Entry!$A$5:$A$104,0)),""))</f>
        <v/>
      </c>
      <c r="E11" s="6">
        <f>IF($A11="","",IFERROR(INDEX(Clinical_Entry!$Y$5:$Y$104,MATCH($A11,Clinical_Entry!$A$5:$A$104,0)),""))</f>
        <v/>
      </c>
      <c r="F11" s="6">
        <f>IF($A11="","",IFERROR(INDEX(Clinical_Entry!$Z$5:$Z$104,MATCH($A11,Clinical_Entry!$A$5:$A$104,0)),""))</f>
        <v/>
      </c>
      <c r="G11" s="6">
        <f>IF($A11="","",IFERROR(INDEX(Treatment_Entry!$AA$5:$AA$104,MATCH($A11,Treatment_Entry!$A$5:$A$104,0)),""))</f>
        <v/>
      </c>
      <c r="H11" s="6">
        <f>IF($A11="","",IFERROR(INDEX(Clinical_Entry!$AB$5:$AB$104,MATCH($A11,Clinical_Entry!$A$5:$A$104,0)),""))</f>
        <v/>
      </c>
      <c r="I11" s="6">
        <f>IF($A11="","",IFERROR(INDEX(Clinical_Entry!$AC$5:$AC$104,MATCH($A11,Clinical_Entry!$A$5:$A$104,0)),""))</f>
        <v/>
      </c>
      <c r="J11" s="6">
        <f>IF($A11="","",IFERROR(INDEX(Treatment_Entry!$K$5:$K$104,MATCH($A11,Treatment_Entry!$A$5:$A$104,0)),""))</f>
        <v/>
      </c>
      <c r="K11" s="7">
        <f>IF($A11="","",IFERROR(INDEX(Treatment_Entry!$AC$5:$AC$104,MATCH($A11,Treatment_Entry!$A$5:$A$104,0)),""))</f>
        <v/>
      </c>
      <c r="L11" s="6">
        <f>IF($A11="","",IFERROR(INDEX(Treatment_Entry!$AE$5:$AE$104,MATCH($A11,Treatment_Entry!$A$5:$A$104,0)),""))</f>
        <v/>
      </c>
      <c r="M11" s="8">
        <f>IF($A11="","",IF(AND($E11="Not done",OR($C11="High",$C11="Very High / Locally Advanced",LEFT($C11,2)="M1")),1,0))</f>
        <v/>
      </c>
      <c r="N11" s="8">
        <f>IF($A11="","",IF(AND($F11="Not done",OR($C11="High",$C11="Very High / Locally Advanced")),1,0))</f>
        <v/>
      </c>
      <c r="O11" s="8">
        <f>IF($A11="","",IF($G11="Not started",1,0))</f>
        <v/>
      </c>
      <c r="P11" s="8">
        <f>IF($A11="","",IF($H11="Not done",1,0))</f>
        <v/>
      </c>
      <c r="Q11" s="8">
        <f>IF($A11="","",IF($I11="Not done",1,0))</f>
        <v/>
      </c>
      <c r="R11" s="8">
        <f>IF($A11="","",IF(AND($D11="Hormone-sensitive (HSPC)",$C11="High",$J11="Not initiated"),1,0))</f>
        <v/>
      </c>
      <c r="S11" s="8">
        <f>IF($A11="","",IF($K11="",1,0))</f>
        <v/>
      </c>
      <c r="T11" s="8">
        <f>IF($A11="","",IF(OR($L11="",$L11="Not done"),1,0))</f>
        <v/>
      </c>
      <c r="U11" s="8">
        <f>IF($A11="","",SUM($M11:$O11))</f>
        <v/>
      </c>
      <c r="V11" s="8">
        <f>IF($A11="","",SUM($P11:$R11))</f>
        <v/>
      </c>
      <c r="W11" s="8">
        <f>IF($A11="","",SUM($S11:$T11))</f>
        <v/>
      </c>
      <c r="X11" s="8">
        <f>IF($A11="","",SUM($U11:$W11))</f>
        <v/>
      </c>
      <c r="Y11" s="6">
        <f>IF($A11="","",IF($U11&gt;0,"Urgent",IF($V11&gt;0,"Warning",IF($W11&gt;0,"Info","Closed"))))</f>
        <v/>
      </c>
      <c r="Z11" s="6">
        <f>IF($A11="","",IF($M11=1,"Complete bone scan / SPECT",IF($N11=1,"Complete PSMA PET-CT",IF($O11=1,"Start bone protection plan",IF($P11=1,"Order DEXA",IF($Q11=1,"Order genomics",IF($R11=1,"Review ARSI intensification",IF($S11=1,"Schedule follow-up PSA",IF($T11=1,"Document psychosocial screening","No open gap")))))))))</f>
        <v/>
      </c>
      <c r="AA11" s="6">
        <f>IF($A11="","",IF($X11=0,"No open care gaps",$Y11&amp;" priority · "&amp;$Z11))</f>
        <v/>
      </c>
    </row>
    <row r="12">
      <c r="A12" s="6">
        <f>IF(Demographics_Entry!$A12="","",Demographics_Entry!$A12)</f>
        <v/>
      </c>
      <c r="B12" s="6">
        <f>IF($A12="","",IFERROR(INDEX(Demographics_Entry!$E$5:$E$104,MATCH($A12,Demographics_Entry!$A$5:$A$104,0)),""))</f>
        <v/>
      </c>
      <c r="C12" s="6">
        <f>IF($A12="","",IFERROR(INDEX(Clinical_Entry!$U$5:$U$104,MATCH($A12,Clinical_Entry!$A$5:$A$104,0)),""))</f>
        <v/>
      </c>
      <c r="D12" s="6">
        <f>IF($A12="","",IFERROR(INDEX(Clinical_Entry!$W$5:$W$104,MATCH($A12,Clinical_Entry!$A$5:$A$104,0)),""))</f>
        <v/>
      </c>
      <c r="E12" s="6">
        <f>IF($A12="","",IFERROR(INDEX(Clinical_Entry!$Y$5:$Y$104,MATCH($A12,Clinical_Entry!$A$5:$A$104,0)),""))</f>
        <v/>
      </c>
      <c r="F12" s="6">
        <f>IF($A12="","",IFERROR(INDEX(Clinical_Entry!$Z$5:$Z$104,MATCH($A12,Clinical_Entry!$A$5:$A$104,0)),""))</f>
        <v/>
      </c>
      <c r="G12" s="6">
        <f>IF($A12="","",IFERROR(INDEX(Treatment_Entry!$AA$5:$AA$104,MATCH($A12,Treatment_Entry!$A$5:$A$104,0)),""))</f>
        <v/>
      </c>
      <c r="H12" s="6">
        <f>IF($A12="","",IFERROR(INDEX(Clinical_Entry!$AB$5:$AB$104,MATCH($A12,Clinical_Entry!$A$5:$A$104,0)),""))</f>
        <v/>
      </c>
      <c r="I12" s="6">
        <f>IF($A12="","",IFERROR(INDEX(Clinical_Entry!$AC$5:$AC$104,MATCH($A12,Clinical_Entry!$A$5:$A$104,0)),""))</f>
        <v/>
      </c>
      <c r="J12" s="6">
        <f>IF($A12="","",IFERROR(INDEX(Treatment_Entry!$K$5:$K$104,MATCH($A12,Treatment_Entry!$A$5:$A$104,0)),""))</f>
        <v/>
      </c>
      <c r="K12" s="7">
        <f>IF($A12="","",IFERROR(INDEX(Treatment_Entry!$AC$5:$AC$104,MATCH($A12,Treatment_Entry!$A$5:$A$104,0)),""))</f>
        <v/>
      </c>
      <c r="L12" s="6">
        <f>IF($A12="","",IFERROR(INDEX(Treatment_Entry!$AE$5:$AE$104,MATCH($A12,Treatment_Entry!$A$5:$A$104,0)),""))</f>
        <v/>
      </c>
      <c r="M12" s="8">
        <f>IF($A12="","",IF(AND($E12="Not done",OR($C12="High",$C12="Very High / Locally Advanced",LEFT($C12,2)="M1")),1,0))</f>
        <v/>
      </c>
      <c r="N12" s="8">
        <f>IF($A12="","",IF(AND($F12="Not done",OR($C12="High",$C12="Very High / Locally Advanced")),1,0))</f>
        <v/>
      </c>
      <c r="O12" s="8">
        <f>IF($A12="","",IF($G12="Not started",1,0))</f>
        <v/>
      </c>
      <c r="P12" s="8">
        <f>IF($A12="","",IF($H12="Not done",1,0))</f>
        <v/>
      </c>
      <c r="Q12" s="8">
        <f>IF($A12="","",IF($I12="Not done",1,0))</f>
        <v/>
      </c>
      <c r="R12" s="8">
        <f>IF($A12="","",IF(AND($D12="Hormone-sensitive (HSPC)",$C12="High",$J12="Not initiated"),1,0))</f>
        <v/>
      </c>
      <c r="S12" s="8">
        <f>IF($A12="","",IF($K12="",1,0))</f>
        <v/>
      </c>
      <c r="T12" s="8">
        <f>IF($A12="","",IF(OR($L12="",$L12="Not done"),1,0))</f>
        <v/>
      </c>
      <c r="U12" s="8">
        <f>IF($A12="","",SUM($M12:$O12))</f>
        <v/>
      </c>
      <c r="V12" s="8">
        <f>IF($A12="","",SUM($P12:$R12))</f>
        <v/>
      </c>
      <c r="W12" s="8">
        <f>IF($A12="","",SUM($S12:$T12))</f>
        <v/>
      </c>
      <c r="X12" s="8">
        <f>IF($A12="","",SUM($U12:$W12))</f>
        <v/>
      </c>
      <c r="Y12" s="6">
        <f>IF($A12="","",IF($U12&gt;0,"Urgent",IF($V12&gt;0,"Warning",IF($W12&gt;0,"Info","Closed"))))</f>
        <v/>
      </c>
      <c r="Z12" s="6">
        <f>IF($A12="","",IF($M12=1,"Complete bone scan / SPECT",IF($N12=1,"Complete PSMA PET-CT",IF($O12=1,"Start bone protection plan",IF($P12=1,"Order DEXA",IF($Q12=1,"Order genomics",IF($R12=1,"Review ARSI intensification",IF($S12=1,"Schedule follow-up PSA",IF($T12=1,"Document psychosocial screening","No open gap")))))))))</f>
        <v/>
      </c>
      <c r="AA12" s="6">
        <f>IF($A12="","",IF($X12=0,"No open care gaps",$Y12&amp;" priority · "&amp;$Z12))</f>
        <v/>
      </c>
    </row>
    <row r="13">
      <c r="A13" s="6">
        <f>IF(Demographics_Entry!$A13="","",Demographics_Entry!$A13)</f>
        <v/>
      </c>
      <c r="B13" s="6">
        <f>IF($A13="","",IFERROR(INDEX(Demographics_Entry!$E$5:$E$104,MATCH($A13,Demographics_Entry!$A$5:$A$104,0)),""))</f>
        <v/>
      </c>
      <c r="C13" s="6">
        <f>IF($A13="","",IFERROR(INDEX(Clinical_Entry!$U$5:$U$104,MATCH($A13,Clinical_Entry!$A$5:$A$104,0)),""))</f>
        <v/>
      </c>
      <c r="D13" s="6">
        <f>IF($A13="","",IFERROR(INDEX(Clinical_Entry!$W$5:$W$104,MATCH($A13,Clinical_Entry!$A$5:$A$104,0)),""))</f>
        <v/>
      </c>
      <c r="E13" s="6">
        <f>IF($A13="","",IFERROR(INDEX(Clinical_Entry!$Y$5:$Y$104,MATCH($A13,Clinical_Entry!$A$5:$A$104,0)),""))</f>
        <v/>
      </c>
      <c r="F13" s="6">
        <f>IF($A13="","",IFERROR(INDEX(Clinical_Entry!$Z$5:$Z$104,MATCH($A13,Clinical_Entry!$A$5:$A$104,0)),""))</f>
        <v/>
      </c>
      <c r="G13" s="6">
        <f>IF($A13="","",IFERROR(INDEX(Treatment_Entry!$AA$5:$AA$104,MATCH($A13,Treatment_Entry!$A$5:$A$104,0)),""))</f>
        <v/>
      </c>
      <c r="H13" s="6">
        <f>IF($A13="","",IFERROR(INDEX(Clinical_Entry!$AB$5:$AB$104,MATCH($A13,Clinical_Entry!$A$5:$A$104,0)),""))</f>
        <v/>
      </c>
      <c r="I13" s="6">
        <f>IF($A13="","",IFERROR(INDEX(Clinical_Entry!$AC$5:$AC$104,MATCH($A13,Clinical_Entry!$A$5:$A$104,0)),""))</f>
        <v/>
      </c>
      <c r="J13" s="6">
        <f>IF($A13="","",IFERROR(INDEX(Treatment_Entry!$K$5:$K$104,MATCH($A13,Treatment_Entry!$A$5:$A$104,0)),""))</f>
        <v/>
      </c>
      <c r="K13" s="7">
        <f>IF($A13="","",IFERROR(INDEX(Treatment_Entry!$AC$5:$AC$104,MATCH($A13,Treatment_Entry!$A$5:$A$104,0)),""))</f>
        <v/>
      </c>
      <c r="L13" s="6">
        <f>IF($A13="","",IFERROR(INDEX(Treatment_Entry!$AE$5:$AE$104,MATCH($A13,Treatment_Entry!$A$5:$A$104,0)),""))</f>
        <v/>
      </c>
      <c r="M13" s="8">
        <f>IF($A13="","",IF(AND($E13="Not done",OR($C13="High",$C13="Very High / Locally Advanced",LEFT($C13,2)="M1")),1,0))</f>
        <v/>
      </c>
      <c r="N13" s="8">
        <f>IF($A13="","",IF(AND($F13="Not done",OR($C13="High",$C13="Very High / Locally Advanced")),1,0))</f>
        <v/>
      </c>
      <c r="O13" s="8">
        <f>IF($A13="","",IF($G13="Not started",1,0))</f>
        <v/>
      </c>
      <c r="P13" s="8">
        <f>IF($A13="","",IF($H13="Not done",1,0))</f>
        <v/>
      </c>
      <c r="Q13" s="8">
        <f>IF($A13="","",IF($I13="Not done",1,0))</f>
        <v/>
      </c>
      <c r="R13" s="8">
        <f>IF($A13="","",IF(AND($D13="Hormone-sensitive (HSPC)",$C13="High",$J13="Not initiated"),1,0))</f>
        <v/>
      </c>
      <c r="S13" s="8">
        <f>IF($A13="","",IF($K13="",1,0))</f>
        <v/>
      </c>
      <c r="T13" s="8">
        <f>IF($A13="","",IF(OR($L13="",$L13="Not done"),1,0))</f>
        <v/>
      </c>
      <c r="U13" s="8">
        <f>IF($A13="","",SUM($M13:$O13))</f>
        <v/>
      </c>
      <c r="V13" s="8">
        <f>IF($A13="","",SUM($P13:$R13))</f>
        <v/>
      </c>
      <c r="W13" s="8">
        <f>IF($A13="","",SUM($S13:$T13))</f>
        <v/>
      </c>
      <c r="X13" s="8">
        <f>IF($A13="","",SUM($U13:$W13))</f>
        <v/>
      </c>
      <c r="Y13" s="6">
        <f>IF($A13="","",IF($U13&gt;0,"Urgent",IF($V13&gt;0,"Warning",IF($W13&gt;0,"Info","Closed"))))</f>
        <v/>
      </c>
      <c r="Z13" s="6">
        <f>IF($A13="","",IF($M13=1,"Complete bone scan / SPECT",IF($N13=1,"Complete PSMA PET-CT",IF($O13=1,"Start bone protection plan",IF($P13=1,"Order DEXA",IF($Q13=1,"Order genomics",IF($R13=1,"Review ARSI intensification",IF($S13=1,"Schedule follow-up PSA",IF($T13=1,"Document psychosocial screening","No open gap")))))))))</f>
        <v/>
      </c>
      <c r="AA13" s="6">
        <f>IF($A13="","",IF($X13=0,"No open care gaps",$Y13&amp;" priority · "&amp;$Z13))</f>
        <v/>
      </c>
    </row>
    <row r="14">
      <c r="A14" s="6">
        <f>IF(Demographics_Entry!$A14="","",Demographics_Entry!$A14)</f>
        <v/>
      </c>
      <c r="B14" s="6">
        <f>IF($A14="","",IFERROR(INDEX(Demographics_Entry!$E$5:$E$104,MATCH($A14,Demographics_Entry!$A$5:$A$104,0)),""))</f>
        <v/>
      </c>
      <c r="C14" s="6">
        <f>IF($A14="","",IFERROR(INDEX(Clinical_Entry!$U$5:$U$104,MATCH($A14,Clinical_Entry!$A$5:$A$104,0)),""))</f>
        <v/>
      </c>
      <c r="D14" s="6">
        <f>IF($A14="","",IFERROR(INDEX(Clinical_Entry!$W$5:$W$104,MATCH($A14,Clinical_Entry!$A$5:$A$104,0)),""))</f>
        <v/>
      </c>
      <c r="E14" s="6">
        <f>IF($A14="","",IFERROR(INDEX(Clinical_Entry!$Y$5:$Y$104,MATCH($A14,Clinical_Entry!$A$5:$A$104,0)),""))</f>
        <v/>
      </c>
      <c r="F14" s="6">
        <f>IF($A14="","",IFERROR(INDEX(Clinical_Entry!$Z$5:$Z$104,MATCH($A14,Clinical_Entry!$A$5:$A$104,0)),""))</f>
        <v/>
      </c>
      <c r="G14" s="6">
        <f>IF($A14="","",IFERROR(INDEX(Treatment_Entry!$AA$5:$AA$104,MATCH($A14,Treatment_Entry!$A$5:$A$104,0)),""))</f>
        <v/>
      </c>
      <c r="H14" s="6">
        <f>IF($A14="","",IFERROR(INDEX(Clinical_Entry!$AB$5:$AB$104,MATCH($A14,Clinical_Entry!$A$5:$A$104,0)),""))</f>
        <v/>
      </c>
      <c r="I14" s="6">
        <f>IF($A14="","",IFERROR(INDEX(Clinical_Entry!$AC$5:$AC$104,MATCH($A14,Clinical_Entry!$A$5:$A$104,0)),""))</f>
        <v/>
      </c>
      <c r="J14" s="6">
        <f>IF($A14="","",IFERROR(INDEX(Treatment_Entry!$K$5:$K$104,MATCH($A14,Treatment_Entry!$A$5:$A$104,0)),""))</f>
        <v/>
      </c>
      <c r="K14" s="7">
        <f>IF($A14="","",IFERROR(INDEX(Treatment_Entry!$AC$5:$AC$104,MATCH($A14,Treatment_Entry!$A$5:$A$104,0)),""))</f>
        <v/>
      </c>
      <c r="L14" s="6">
        <f>IF($A14="","",IFERROR(INDEX(Treatment_Entry!$AE$5:$AE$104,MATCH($A14,Treatment_Entry!$A$5:$A$104,0)),""))</f>
        <v/>
      </c>
      <c r="M14" s="8">
        <f>IF($A14="","",IF(AND($E14="Not done",OR($C14="High",$C14="Very High / Locally Advanced",LEFT($C14,2)="M1")),1,0))</f>
        <v/>
      </c>
      <c r="N14" s="8">
        <f>IF($A14="","",IF(AND($F14="Not done",OR($C14="High",$C14="Very High / Locally Advanced")),1,0))</f>
        <v/>
      </c>
      <c r="O14" s="8">
        <f>IF($A14="","",IF($G14="Not started",1,0))</f>
        <v/>
      </c>
      <c r="P14" s="8">
        <f>IF($A14="","",IF($H14="Not done",1,0))</f>
        <v/>
      </c>
      <c r="Q14" s="8">
        <f>IF($A14="","",IF($I14="Not done",1,0))</f>
        <v/>
      </c>
      <c r="R14" s="8">
        <f>IF($A14="","",IF(AND($D14="Hormone-sensitive (HSPC)",$C14="High",$J14="Not initiated"),1,0))</f>
        <v/>
      </c>
      <c r="S14" s="8">
        <f>IF($A14="","",IF($K14="",1,0))</f>
        <v/>
      </c>
      <c r="T14" s="8">
        <f>IF($A14="","",IF(OR($L14="",$L14="Not done"),1,0))</f>
        <v/>
      </c>
      <c r="U14" s="8">
        <f>IF($A14="","",SUM($M14:$O14))</f>
        <v/>
      </c>
      <c r="V14" s="8">
        <f>IF($A14="","",SUM($P14:$R14))</f>
        <v/>
      </c>
      <c r="W14" s="8">
        <f>IF($A14="","",SUM($S14:$T14))</f>
        <v/>
      </c>
      <c r="X14" s="8">
        <f>IF($A14="","",SUM($U14:$W14))</f>
        <v/>
      </c>
      <c r="Y14" s="6">
        <f>IF($A14="","",IF($U14&gt;0,"Urgent",IF($V14&gt;0,"Warning",IF($W14&gt;0,"Info","Closed"))))</f>
        <v/>
      </c>
      <c r="Z14" s="6">
        <f>IF($A14="","",IF($M14=1,"Complete bone scan / SPECT",IF($N14=1,"Complete PSMA PET-CT",IF($O14=1,"Start bone protection plan",IF($P14=1,"Order DEXA",IF($Q14=1,"Order genomics",IF($R14=1,"Review ARSI intensification",IF($S14=1,"Schedule follow-up PSA",IF($T14=1,"Document psychosocial screening","No open gap")))))))))</f>
        <v/>
      </c>
      <c r="AA14" s="6">
        <f>IF($A14="","",IF($X14=0,"No open care gaps",$Y14&amp;" priority · "&amp;$Z14))</f>
        <v/>
      </c>
    </row>
    <row r="15">
      <c r="A15" s="6">
        <f>IF(Demographics_Entry!$A15="","",Demographics_Entry!$A15)</f>
        <v/>
      </c>
      <c r="B15" s="6">
        <f>IF($A15="","",IFERROR(INDEX(Demographics_Entry!$E$5:$E$104,MATCH($A15,Demographics_Entry!$A$5:$A$104,0)),""))</f>
        <v/>
      </c>
      <c r="C15" s="6">
        <f>IF($A15="","",IFERROR(INDEX(Clinical_Entry!$U$5:$U$104,MATCH($A15,Clinical_Entry!$A$5:$A$104,0)),""))</f>
        <v/>
      </c>
      <c r="D15" s="6">
        <f>IF($A15="","",IFERROR(INDEX(Clinical_Entry!$W$5:$W$104,MATCH($A15,Clinical_Entry!$A$5:$A$104,0)),""))</f>
        <v/>
      </c>
      <c r="E15" s="6">
        <f>IF($A15="","",IFERROR(INDEX(Clinical_Entry!$Y$5:$Y$104,MATCH($A15,Clinical_Entry!$A$5:$A$104,0)),""))</f>
        <v/>
      </c>
      <c r="F15" s="6">
        <f>IF($A15="","",IFERROR(INDEX(Clinical_Entry!$Z$5:$Z$104,MATCH($A15,Clinical_Entry!$A$5:$A$104,0)),""))</f>
        <v/>
      </c>
      <c r="G15" s="6">
        <f>IF($A15="","",IFERROR(INDEX(Treatment_Entry!$AA$5:$AA$104,MATCH($A15,Treatment_Entry!$A$5:$A$104,0)),""))</f>
        <v/>
      </c>
      <c r="H15" s="6">
        <f>IF($A15="","",IFERROR(INDEX(Clinical_Entry!$AB$5:$AB$104,MATCH($A15,Clinical_Entry!$A$5:$A$104,0)),""))</f>
        <v/>
      </c>
      <c r="I15" s="6">
        <f>IF($A15="","",IFERROR(INDEX(Clinical_Entry!$AC$5:$AC$104,MATCH($A15,Clinical_Entry!$A$5:$A$104,0)),""))</f>
        <v/>
      </c>
      <c r="J15" s="6">
        <f>IF($A15="","",IFERROR(INDEX(Treatment_Entry!$K$5:$K$104,MATCH($A15,Treatment_Entry!$A$5:$A$104,0)),""))</f>
        <v/>
      </c>
      <c r="K15" s="7">
        <f>IF($A15="","",IFERROR(INDEX(Treatment_Entry!$AC$5:$AC$104,MATCH($A15,Treatment_Entry!$A$5:$A$104,0)),""))</f>
        <v/>
      </c>
      <c r="L15" s="6">
        <f>IF($A15="","",IFERROR(INDEX(Treatment_Entry!$AE$5:$AE$104,MATCH($A15,Treatment_Entry!$A$5:$A$104,0)),""))</f>
        <v/>
      </c>
      <c r="M15" s="8">
        <f>IF($A15="","",IF(AND($E15="Not done",OR($C15="High",$C15="Very High / Locally Advanced",LEFT($C15,2)="M1")),1,0))</f>
        <v/>
      </c>
      <c r="N15" s="8">
        <f>IF($A15="","",IF(AND($F15="Not done",OR($C15="High",$C15="Very High / Locally Advanced")),1,0))</f>
        <v/>
      </c>
      <c r="O15" s="8">
        <f>IF($A15="","",IF($G15="Not started",1,0))</f>
        <v/>
      </c>
      <c r="P15" s="8">
        <f>IF($A15="","",IF($H15="Not done",1,0))</f>
        <v/>
      </c>
      <c r="Q15" s="8">
        <f>IF($A15="","",IF($I15="Not done",1,0))</f>
        <v/>
      </c>
      <c r="R15" s="8">
        <f>IF($A15="","",IF(AND($D15="Hormone-sensitive (HSPC)",$C15="High",$J15="Not initiated"),1,0))</f>
        <v/>
      </c>
      <c r="S15" s="8">
        <f>IF($A15="","",IF($K15="",1,0))</f>
        <v/>
      </c>
      <c r="T15" s="8">
        <f>IF($A15="","",IF(OR($L15="",$L15="Not done"),1,0))</f>
        <v/>
      </c>
      <c r="U15" s="8">
        <f>IF($A15="","",SUM($M15:$O15))</f>
        <v/>
      </c>
      <c r="V15" s="8">
        <f>IF($A15="","",SUM($P15:$R15))</f>
        <v/>
      </c>
      <c r="W15" s="8">
        <f>IF($A15="","",SUM($S15:$T15))</f>
        <v/>
      </c>
      <c r="X15" s="8">
        <f>IF($A15="","",SUM($U15:$W15))</f>
        <v/>
      </c>
      <c r="Y15" s="6">
        <f>IF($A15="","",IF($U15&gt;0,"Urgent",IF($V15&gt;0,"Warning",IF($W15&gt;0,"Info","Closed"))))</f>
        <v/>
      </c>
      <c r="Z15" s="6">
        <f>IF($A15="","",IF($M15=1,"Complete bone scan / SPECT",IF($N15=1,"Complete PSMA PET-CT",IF($O15=1,"Start bone protection plan",IF($P15=1,"Order DEXA",IF($Q15=1,"Order genomics",IF($R15=1,"Review ARSI intensification",IF($S15=1,"Schedule follow-up PSA",IF($T15=1,"Document psychosocial screening","No open gap")))))))))</f>
        <v/>
      </c>
      <c r="AA15" s="6">
        <f>IF($A15="","",IF($X15=0,"No open care gaps",$Y15&amp;" priority · "&amp;$Z15))</f>
        <v/>
      </c>
    </row>
    <row r="16">
      <c r="A16" s="6">
        <f>IF(Demographics_Entry!$A16="","",Demographics_Entry!$A16)</f>
        <v/>
      </c>
      <c r="B16" s="6">
        <f>IF($A16="","",IFERROR(INDEX(Demographics_Entry!$E$5:$E$104,MATCH($A16,Demographics_Entry!$A$5:$A$104,0)),""))</f>
        <v/>
      </c>
      <c r="C16" s="6">
        <f>IF($A16="","",IFERROR(INDEX(Clinical_Entry!$U$5:$U$104,MATCH($A16,Clinical_Entry!$A$5:$A$104,0)),""))</f>
        <v/>
      </c>
      <c r="D16" s="6">
        <f>IF($A16="","",IFERROR(INDEX(Clinical_Entry!$W$5:$W$104,MATCH($A16,Clinical_Entry!$A$5:$A$104,0)),""))</f>
        <v/>
      </c>
      <c r="E16" s="6">
        <f>IF($A16="","",IFERROR(INDEX(Clinical_Entry!$Y$5:$Y$104,MATCH($A16,Clinical_Entry!$A$5:$A$104,0)),""))</f>
        <v/>
      </c>
      <c r="F16" s="6">
        <f>IF($A16="","",IFERROR(INDEX(Clinical_Entry!$Z$5:$Z$104,MATCH($A16,Clinical_Entry!$A$5:$A$104,0)),""))</f>
        <v/>
      </c>
      <c r="G16" s="6">
        <f>IF($A16="","",IFERROR(INDEX(Treatment_Entry!$AA$5:$AA$104,MATCH($A16,Treatment_Entry!$A$5:$A$104,0)),""))</f>
        <v/>
      </c>
      <c r="H16" s="6">
        <f>IF($A16="","",IFERROR(INDEX(Clinical_Entry!$AB$5:$AB$104,MATCH($A16,Clinical_Entry!$A$5:$A$104,0)),""))</f>
        <v/>
      </c>
      <c r="I16" s="6">
        <f>IF($A16="","",IFERROR(INDEX(Clinical_Entry!$AC$5:$AC$104,MATCH($A16,Clinical_Entry!$A$5:$A$104,0)),""))</f>
        <v/>
      </c>
      <c r="J16" s="6">
        <f>IF($A16="","",IFERROR(INDEX(Treatment_Entry!$K$5:$K$104,MATCH($A16,Treatment_Entry!$A$5:$A$104,0)),""))</f>
        <v/>
      </c>
      <c r="K16" s="7">
        <f>IF($A16="","",IFERROR(INDEX(Treatment_Entry!$AC$5:$AC$104,MATCH($A16,Treatment_Entry!$A$5:$A$104,0)),""))</f>
        <v/>
      </c>
      <c r="L16" s="6">
        <f>IF($A16="","",IFERROR(INDEX(Treatment_Entry!$AE$5:$AE$104,MATCH($A16,Treatment_Entry!$A$5:$A$104,0)),""))</f>
        <v/>
      </c>
      <c r="M16" s="8">
        <f>IF($A16="","",IF(AND($E16="Not done",OR($C16="High",$C16="Very High / Locally Advanced",LEFT($C16,2)="M1")),1,0))</f>
        <v/>
      </c>
      <c r="N16" s="8">
        <f>IF($A16="","",IF(AND($F16="Not done",OR($C16="High",$C16="Very High / Locally Advanced")),1,0))</f>
        <v/>
      </c>
      <c r="O16" s="8">
        <f>IF($A16="","",IF($G16="Not started",1,0))</f>
        <v/>
      </c>
      <c r="P16" s="8">
        <f>IF($A16="","",IF($H16="Not done",1,0))</f>
        <v/>
      </c>
      <c r="Q16" s="8">
        <f>IF($A16="","",IF($I16="Not done",1,0))</f>
        <v/>
      </c>
      <c r="R16" s="8">
        <f>IF($A16="","",IF(AND($D16="Hormone-sensitive (HSPC)",$C16="High",$J16="Not initiated"),1,0))</f>
        <v/>
      </c>
      <c r="S16" s="8">
        <f>IF($A16="","",IF($K16="",1,0))</f>
        <v/>
      </c>
      <c r="T16" s="8">
        <f>IF($A16="","",IF(OR($L16="",$L16="Not done"),1,0))</f>
        <v/>
      </c>
      <c r="U16" s="8">
        <f>IF($A16="","",SUM($M16:$O16))</f>
        <v/>
      </c>
      <c r="V16" s="8">
        <f>IF($A16="","",SUM($P16:$R16))</f>
        <v/>
      </c>
      <c r="W16" s="8">
        <f>IF($A16="","",SUM($S16:$T16))</f>
        <v/>
      </c>
      <c r="X16" s="8">
        <f>IF($A16="","",SUM($U16:$W16))</f>
        <v/>
      </c>
      <c r="Y16" s="6">
        <f>IF($A16="","",IF($U16&gt;0,"Urgent",IF($V16&gt;0,"Warning",IF($W16&gt;0,"Info","Closed"))))</f>
        <v/>
      </c>
      <c r="Z16" s="6">
        <f>IF($A16="","",IF($M16=1,"Complete bone scan / SPECT",IF($N16=1,"Complete PSMA PET-CT",IF($O16=1,"Start bone protection plan",IF($P16=1,"Order DEXA",IF($Q16=1,"Order genomics",IF($R16=1,"Review ARSI intensification",IF($S16=1,"Schedule follow-up PSA",IF($T16=1,"Document psychosocial screening","No open gap")))))))))</f>
        <v/>
      </c>
      <c r="AA16" s="6">
        <f>IF($A16="","",IF($X16=0,"No open care gaps",$Y16&amp;" priority · "&amp;$Z16))</f>
        <v/>
      </c>
    </row>
    <row r="17">
      <c r="A17" s="6">
        <f>IF(Demographics_Entry!$A17="","",Demographics_Entry!$A17)</f>
        <v/>
      </c>
      <c r="B17" s="6">
        <f>IF($A17="","",IFERROR(INDEX(Demographics_Entry!$E$5:$E$104,MATCH($A17,Demographics_Entry!$A$5:$A$104,0)),""))</f>
        <v/>
      </c>
      <c r="C17" s="6">
        <f>IF($A17="","",IFERROR(INDEX(Clinical_Entry!$U$5:$U$104,MATCH($A17,Clinical_Entry!$A$5:$A$104,0)),""))</f>
        <v/>
      </c>
      <c r="D17" s="6">
        <f>IF($A17="","",IFERROR(INDEX(Clinical_Entry!$W$5:$W$104,MATCH($A17,Clinical_Entry!$A$5:$A$104,0)),""))</f>
        <v/>
      </c>
      <c r="E17" s="6">
        <f>IF($A17="","",IFERROR(INDEX(Clinical_Entry!$Y$5:$Y$104,MATCH($A17,Clinical_Entry!$A$5:$A$104,0)),""))</f>
        <v/>
      </c>
      <c r="F17" s="6">
        <f>IF($A17="","",IFERROR(INDEX(Clinical_Entry!$Z$5:$Z$104,MATCH($A17,Clinical_Entry!$A$5:$A$104,0)),""))</f>
        <v/>
      </c>
      <c r="G17" s="6">
        <f>IF($A17="","",IFERROR(INDEX(Treatment_Entry!$AA$5:$AA$104,MATCH($A17,Treatment_Entry!$A$5:$A$104,0)),""))</f>
        <v/>
      </c>
      <c r="H17" s="6">
        <f>IF($A17="","",IFERROR(INDEX(Clinical_Entry!$AB$5:$AB$104,MATCH($A17,Clinical_Entry!$A$5:$A$104,0)),""))</f>
        <v/>
      </c>
      <c r="I17" s="6">
        <f>IF($A17="","",IFERROR(INDEX(Clinical_Entry!$AC$5:$AC$104,MATCH($A17,Clinical_Entry!$A$5:$A$104,0)),""))</f>
        <v/>
      </c>
      <c r="J17" s="6">
        <f>IF($A17="","",IFERROR(INDEX(Treatment_Entry!$K$5:$K$104,MATCH($A17,Treatment_Entry!$A$5:$A$104,0)),""))</f>
        <v/>
      </c>
      <c r="K17" s="7">
        <f>IF($A17="","",IFERROR(INDEX(Treatment_Entry!$AC$5:$AC$104,MATCH($A17,Treatment_Entry!$A$5:$A$104,0)),""))</f>
        <v/>
      </c>
      <c r="L17" s="6">
        <f>IF($A17="","",IFERROR(INDEX(Treatment_Entry!$AE$5:$AE$104,MATCH($A17,Treatment_Entry!$A$5:$A$104,0)),""))</f>
        <v/>
      </c>
      <c r="M17" s="8">
        <f>IF($A17="","",IF(AND($E17="Not done",OR($C17="High",$C17="Very High / Locally Advanced",LEFT($C17,2)="M1")),1,0))</f>
        <v/>
      </c>
      <c r="N17" s="8">
        <f>IF($A17="","",IF(AND($F17="Not done",OR($C17="High",$C17="Very High / Locally Advanced")),1,0))</f>
        <v/>
      </c>
      <c r="O17" s="8">
        <f>IF($A17="","",IF($G17="Not started",1,0))</f>
        <v/>
      </c>
      <c r="P17" s="8">
        <f>IF($A17="","",IF($H17="Not done",1,0))</f>
        <v/>
      </c>
      <c r="Q17" s="8">
        <f>IF($A17="","",IF($I17="Not done",1,0))</f>
        <v/>
      </c>
      <c r="R17" s="8">
        <f>IF($A17="","",IF(AND($D17="Hormone-sensitive (HSPC)",$C17="High",$J17="Not initiated"),1,0))</f>
        <v/>
      </c>
      <c r="S17" s="8">
        <f>IF($A17="","",IF($K17="",1,0))</f>
        <v/>
      </c>
      <c r="T17" s="8">
        <f>IF($A17="","",IF(OR($L17="",$L17="Not done"),1,0))</f>
        <v/>
      </c>
      <c r="U17" s="8">
        <f>IF($A17="","",SUM($M17:$O17))</f>
        <v/>
      </c>
      <c r="V17" s="8">
        <f>IF($A17="","",SUM($P17:$R17))</f>
        <v/>
      </c>
      <c r="W17" s="8">
        <f>IF($A17="","",SUM($S17:$T17))</f>
        <v/>
      </c>
      <c r="X17" s="8">
        <f>IF($A17="","",SUM($U17:$W17))</f>
        <v/>
      </c>
      <c r="Y17" s="6">
        <f>IF($A17="","",IF($U17&gt;0,"Urgent",IF($V17&gt;0,"Warning",IF($W17&gt;0,"Info","Closed"))))</f>
        <v/>
      </c>
      <c r="Z17" s="6">
        <f>IF($A17="","",IF($M17=1,"Complete bone scan / SPECT",IF($N17=1,"Complete PSMA PET-CT",IF($O17=1,"Start bone protection plan",IF($P17=1,"Order DEXA",IF($Q17=1,"Order genomics",IF($R17=1,"Review ARSI intensification",IF($S17=1,"Schedule follow-up PSA",IF($T17=1,"Document psychosocial screening","No open gap")))))))))</f>
        <v/>
      </c>
      <c r="AA17" s="6">
        <f>IF($A17="","",IF($X17=0,"No open care gaps",$Y17&amp;" priority · "&amp;$Z17))</f>
        <v/>
      </c>
    </row>
    <row r="18">
      <c r="A18" s="6">
        <f>IF(Demographics_Entry!$A18="","",Demographics_Entry!$A18)</f>
        <v/>
      </c>
      <c r="B18" s="6">
        <f>IF($A18="","",IFERROR(INDEX(Demographics_Entry!$E$5:$E$104,MATCH($A18,Demographics_Entry!$A$5:$A$104,0)),""))</f>
        <v/>
      </c>
      <c r="C18" s="6">
        <f>IF($A18="","",IFERROR(INDEX(Clinical_Entry!$U$5:$U$104,MATCH($A18,Clinical_Entry!$A$5:$A$104,0)),""))</f>
        <v/>
      </c>
      <c r="D18" s="6">
        <f>IF($A18="","",IFERROR(INDEX(Clinical_Entry!$W$5:$W$104,MATCH($A18,Clinical_Entry!$A$5:$A$104,0)),""))</f>
        <v/>
      </c>
      <c r="E18" s="6">
        <f>IF($A18="","",IFERROR(INDEX(Clinical_Entry!$Y$5:$Y$104,MATCH($A18,Clinical_Entry!$A$5:$A$104,0)),""))</f>
        <v/>
      </c>
      <c r="F18" s="6">
        <f>IF($A18="","",IFERROR(INDEX(Clinical_Entry!$Z$5:$Z$104,MATCH($A18,Clinical_Entry!$A$5:$A$104,0)),""))</f>
        <v/>
      </c>
      <c r="G18" s="6">
        <f>IF($A18="","",IFERROR(INDEX(Treatment_Entry!$AA$5:$AA$104,MATCH($A18,Treatment_Entry!$A$5:$A$104,0)),""))</f>
        <v/>
      </c>
      <c r="H18" s="6">
        <f>IF($A18="","",IFERROR(INDEX(Clinical_Entry!$AB$5:$AB$104,MATCH($A18,Clinical_Entry!$A$5:$A$104,0)),""))</f>
        <v/>
      </c>
      <c r="I18" s="6">
        <f>IF($A18="","",IFERROR(INDEX(Clinical_Entry!$AC$5:$AC$104,MATCH($A18,Clinical_Entry!$A$5:$A$104,0)),""))</f>
        <v/>
      </c>
      <c r="J18" s="6">
        <f>IF($A18="","",IFERROR(INDEX(Treatment_Entry!$K$5:$K$104,MATCH($A18,Treatment_Entry!$A$5:$A$104,0)),""))</f>
        <v/>
      </c>
      <c r="K18" s="7">
        <f>IF($A18="","",IFERROR(INDEX(Treatment_Entry!$AC$5:$AC$104,MATCH($A18,Treatment_Entry!$A$5:$A$104,0)),""))</f>
        <v/>
      </c>
      <c r="L18" s="6">
        <f>IF($A18="","",IFERROR(INDEX(Treatment_Entry!$AE$5:$AE$104,MATCH($A18,Treatment_Entry!$A$5:$A$104,0)),""))</f>
        <v/>
      </c>
      <c r="M18" s="8">
        <f>IF($A18="","",IF(AND($E18="Not done",OR($C18="High",$C18="Very High / Locally Advanced",LEFT($C18,2)="M1")),1,0))</f>
        <v/>
      </c>
      <c r="N18" s="8">
        <f>IF($A18="","",IF(AND($F18="Not done",OR($C18="High",$C18="Very High / Locally Advanced")),1,0))</f>
        <v/>
      </c>
      <c r="O18" s="8">
        <f>IF($A18="","",IF($G18="Not started",1,0))</f>
        <v/>
      </c>
      <c r="P18" s="8">
        <f>IF($A18="","",IF($H18="Not done",1,0))</f>
        <v/>
      </c>
      <c r="Q18" s="8">
        <f>IF($A18="","",IF($I18="Not done",1,0))</f>
        <v/>
      </c>
      <c r="R18" s="8">
        <f>IF($A18="","",IF(AND($D18="Hormone-sensitive (HSPC)",$C18="High",$J18="Not initiated"),1,0))</f>
        <v/>
      </c>
      <c r="S18" s="8">
        <f>IF($A18="","",IF($K18="",1,0))</f>
        <v/>
      </c>
      <c r="T18" s="8">
        <f>IF($A18="","",IF(OR($L18="",$L18="Not done"),1,0))</f>
        <v/>
      </c>
      <c r="U18" s="8">
        <f>IF($A18="","",SUM($M18:$O18))</f>
        <v/>
      </c>
      <c r="V18" s="8">
        <f>IF($A18="","",SUM($P18:$R18))</f>
        <v/>
      </c>
      <c r="W18" s="8">
        <f>IF($A18="","",SUM($S18:$T18))</f>
        <v/>
      </c>
      <c r="X18" s="8">
        <f>IF($A18="","",SUM($U18:$W18))</f>
        <v/>
      </c>
      <c r="Y18" s="6">
        <f>IF($A18="","",IF($U18&gt;0,"Urgent",IF($V18&gt;0,"Warning",IF($W18&gt;0,"Info","Closed"))))</f>
        <v/>
      </c>
      <c r="Z18" s="6">
        <f>IF($A18="","",IF($M18=1,"Complete bone scan / SPECT",IF($N18=1,"Complete PSMA PET-CT",IF($O18=1,"Start bone protection plan",IF($P18=1,"Order DEXA",IF($Q18=1,"Order genomics",IF($R18=1,"Review ARSI intensification",IF($S18=1,"Schedule follow-up PSA",IF($T18=1,"Document psychosocial screening","No open gap")))))))))</f>
        <v/>
      </c>
      <c r="AA18" s="6">
        <f>IF($A18="","",IF($X18=0,"No open care gaps",$Y18&amp;" priority · "&amp;$Z18))</f>
        <v/>
      </c>
    </row>
    <row r="19">
      <c r="A19" s="6">
        <f>IF(Demographics_Entry!$A19="","",Demographics_Entry!$A19)</f>
        <v/>
      </c>
      <c r="B19" s="6">
        <f>IF($A19="","",IFERROR(INDEX(Demographics_Entry!$E$5:$E$104,MATCH($A19,Demographics_Entry!$A$5:$A$104,0)),""))</f>
        <v/>
      </c>
      <c r="C19" s="6">
        <f>IF($A19="","",IFERROR(INDEX(Clinical_Entry!$U$5:$U$104,MATCH($A19,Clinical_Entry!$A$5:$A$104,0)),""))</f>
        <v/>
      </c>
      <c r="D19" s="6">
        <f>IF($A19="","",IFERROR(INDEX(Clinical_Entry!$W$5:$W$104,MATCH($A19,Clinical_Entry!$A$5:$A$104,0)),""))</f>
        <v/>
      </c>
      <c r="E19" s="6">
        <f>IF($A19="","",IFERROR(INDEX(Clinical_Entry!$Y$5:$Y$104,MATCH($A19,Clinical_Entry!$A$5:$A$104,0)),""))</f>
        <v/>
      </c>
      <c r="F19" s="6">
        <f>IF($A19="","",IFERROR(INDEX(Clinical_Entry!$Z$5:$Z$104,MATCH($A19,Clinical_Entry!$A$5:$A$104,0)),""))</f>
        <v/>
      </c>
      <c r="G19" s="6">
        <f>IF($A19="","",IFERROR(INDEX(Treatment_Entry!$AA$5:$AA$104,MATCH($A19,Treatment_Entry!$A$5:$A$104,0)),""))</f>
        <v/>
      </c>
      <c r="H19" s="6">
        <f>IF($A19="","",IFERROR(INDEX(Clinical_Entry!$AB$5:$AB$104,MATCH($A19,Clinical_Entry!$A$5:$A$104,0)),""))</f>
        <v/>
      </c>
      <c r="I19" s="6">
        <f>IF($A19="","",IFERROR(INDEX(Clinical_Entry!$AC$5:$AC$104,MATCH($A19,Clinical_Entry!$A$5:$A$104,0)),""))</f>
        <v/>
      </c>
      <c r="J19" s="6">
        <f>IF($A19="","",IFERROR(INDEX(Treatment_Entry!$K$5:$K$104,MATCH($A19,Treatment_Entry!$A$5:$A$104,0)),""))</f>
        <v/>
      </c>
      <c r="K19" s="7">
        <f>IF($A19="","",IFERROR(INDEX(Treatment_Entry!$AC$5:$AC$104,MATCH($A19,Treatment_Entry!$A$5:$A$104,0)),""))</f>
        <v/>
      </c>
      <c r="L19" s="6">
        <f>IF($A19="","",IFERROR(INDEX(Treatment_Entry!$AE$5:$AE$104,MATCH($A19,Treatment_Entry!$A$5:$A$104,0)),""))</f>
        <v/>
      </c>
      <c r="M19" s="8">
        <f>IF($A19="","",IF(AND($E19="Not done",OR($C19="High",$C19="Very High / Locally Advanced",LEFT($C19,2)="M1")),1,0))</f>
        <v/>
      </c>
      <c r="N19" s="8">
        <f>IF($A19="","",IF(AND($F19="Not done",OR($C19="High",$C19="Very High / Locally Advanced")),1,0))</f>
        <v/>
      </c>
      <c r="O19" s="8">
        <f>IF($A19="","",IF($G19="Not started",1,0))</f>
        <v/>
      </c>
      <c r="P19" s="8">
        <f>IF($A19="","",IF($H19="Not done",1,0))</f>
        <v/>
      </c>
      <c r="Q19" s="8">
        <f>IF($A19="","",IF($I19="Not done",1,0))</f>
        <v/>
      </c>
      <c r="R19" s="8">
        <f>IF($A19="","",IF(AND($D19="Hormone-sensitive (HSPC)",$C19="High",$J19="Not initiated"),1,0))</f>
        <v/>
      </c>
      <c r="S19" s="8">
        <f>IF($A19="","",IF($K19="",1,0))</f>
        <v/>
      </c>
      <c r="T19" s="8">
        <f>IF($A19="","",IF(OR($L19="",$L19="Not done"),1,0))</f>
        <v/>
      </c>
      <c r="U19" s="8">
        <f>IF($A19="","",SUM($M19:$O19))</f>
        <v/>
      </c>
      <c r="V19" s="8">
        <f>IF($A19="","",SUM($P19:$R19))</f>
        <v/>
      </c>
      <c r="W19" s="8">
        <f>IF($A19="","",SUM($S19:$T19))</f>
        <v/>
      </c>
      <c r="X19" s="8">
        <f>IF($A19="","",SUM($U19:$W19))</f>
        <v/>
      </c>
      <c r="Y19" s="6">
        <f>IF($A19="","",IF($U19&gt;0,"Urgent",IF($V19&gt;0,"Warning",IF($W19&gt;0,"Info","Closed"))))</f>
        <v/>
      </c>
      <c r="Z19" s="6">
        <f>IF($A19="","",IF($M19=1,"Complete bone scan / SPECT",IF($N19=1,"Complete PSMA PET-CT",IF($O19=1,"Start bone protection plan",IF($P19=1,"Order DEXA",IF($Q19=1,"Order genomics",IF($R19=1,"Review ARSI intensification",IF($S19=1,"Schedule follow-up PSA",IF($T19=1,"Document psychosocial screening","No open gap")))))))))</f>
        <v/>
      </c>
      <c r="AA19" s="6">
        <f>IF($A19="","",IF($X19=0,"No open care gaps",$Y19&amp;" priority · "&amp;$Z19))</f>
        <v/>
      </c>
    </row>
    <row r="20">
      <c r="A20" s="6">
        <f>IF(Demographics_Entry!$A20="","",Demographics_Entry!$A20)</f>
        <v/>
      </c>
      <c r="B20" s="6">
        <f>IF($A20="","",IFERROR(INDEX(Demographics_Entry!$E$5:$E$104,MATCH($A20,Demographics_Entry!$A$5:$A$104,0)),""))</f>
        <v/>
      </c>
      <c r="C20" s="6">
        <f>IF($A20="","",IFERROR(INDEX(Clinical_Entry!$U$5:$U$104,MATCH($A20,Clinical_Entry!$A$5:$A$104,0)),""))</f>
        <v/>
      </c>
      <c r="D20" s="6">
        <f>IF($A20="","",IFERROR(INDEX(Clinical_Entry!$W$5:$W$104,MATCH($A20,Clinical_Entry!$A$5:$A$104,0)),""))</f>
        <v/>
      </c>
      <c r="E20" s="6">
        <f>IF($A20="","",IFERROR(INDEX(Clinical_Entry!$Y$5:$Y$104,MATCH($A20,Clinical_Entry!$A$5:$A$104,0)),""))</f>
        <v/>
      </c>
      <c r="F20" s="6">
        <f>IF($A20="","",IFERROR(INDEX(Clinical_Entry!$Z$5:$Z$104,MATCH($A20,Clinical_Entry!$A$5:$A$104,0)),""))</f>
        <v/>
      </c>
      <c r="G20" s="6">
        <f>IF($A20="","",IFERROR(INDEX(Treatment_Entry!$AA$5:$AA$104,MATCH($A20,Treatment_Entry!$A$5:$A$104,0)),""))</f>
        <v/>
      </c>
      <c r="H20" s="6">
        <f>IF($A20="","",IFERROR(INDEX(Clinical_Entry!$AB$5:$AB$104,MATCH($A20,Clinical_Entry!$A$5:$A$104,0)),""))</f>
        <v/>
      </c>
      <c r="I20" s="6">
        <f>IF($A20="","",IFERROR(INDEX(Clinical_Entry!$AC$5:$AC$104,MATCH($A20,Clinical_Entry!$A$5:$A$104,0)),""))</f>
        <v/>
      </c>
      <c r="J20" s="6">
        <f>IF($A20="","",IFERROR(INDEX(Treatment_Entry!$K$5:$K$104,MATCH($A20,Treatment_Entry!$A$5:$A$104,0)),""))</f>
        <v/>
      </c>
      <c r="K20" s="7">
        <f>IF($A20="","",IFERROR(INDEX(Treatment_Entry!$AC$5:$AC$104,MATCH($A20,Treatment_Entry!$A$5:$A$104,0)),""))</f>
        <v/>
      </c>
      <c r="L20" s="6">
        <f>IF($A20="","",IFERROR(INDEX(Treatment_Entry!$AE$5:$AE$104,MATCH($A20,Treatment_Entry!$A$5:$A$104,0)),""))</f>
        <v/>
      </c>
      <c r="M20" s="8">
        <f>IF($A20="","",IF(AND($E20="Not done",OR($C20="High",$C20="Very High / Locally Advanced",LEFT($C20,2)="M1")),1,0))</f>
        <v/>
      </c>
      <c r="N20" s="8">
        <f>IF($A20="","",IF(AND($F20="Not done",OR($C20="High",$C20="Very High / Locally Advanced")),1,0))</f>
        <v/>
      </c>
      <c r="O20" s="8">
        <f>IF($A20="","",IF($G20="Not started",1,0))</f>
        <v/>
      </c>
      <c r="P20" s="8">
        <f>IF($A20="","",IF($H20="Not done",1,0))</f>
        <v/>
      </c>
      <c r="Q20" s="8">
        <f>IF($A20="","",IF($I20="Not done",1,0))</f>
        <v/>
      </c>
      <c r="R20" s="8">
        <f>IF($A20="","",IF(AND($D20="Hormone-sensitive (HSPC)",$C20="High",$J20="Not initiated"),1,0))</f>
        <v/>
      </c>
      <c r="S20" s="8">
        <f>IF($A20="","",IF($K20="",1,0))</f>
        <v/>
      </c>
      <c r="T20" s="8">
        <f>IF($A20="","",IF(OR($L20="",$L20="Not done"),1,0))</f>
        <v/>
      </c>
      <c r="U20" s="8">
        <f>IF($A20="","",SUM($M20:$O20))</f>
        <v/>
      </c>
      <c r="V20" s="8">
        <f>IF($A20="","",SUM($P20:$R20))</f>
        <v/>
      </c>
      <c r="W20" s="8">
        <f>IF($A20="","",SUM($S20:$T20))</f>
        <v/>
      </c>
      <c r="X20" s="8">
        <f>IF($A20="","",SUM($U20:$W20))</f>
        <v/>
      </c>
      <c r="Y20" s="6">
        <f>IF($A20="","",IF($U20&gt;0,"Urgent",IF($V20&gt;0,"Warning",IF($W20&gt;0,"Info","Closed"))))</f>
        <v/>
      </c>
      <c r="Z20" s="6">
        <f>IF($A20="","",IF($M20=1,"Complete bone scan / SPECT",IF($N20=1,"Complete PSMA PET-CT",IF($O20=1,"Start bone protection plan",IF($P20=1,"Order DEXA",IF($Q20=1,"Order genomics",IF($R20=1,"Review ARSI intensification",IF($S20=1,"Schedule follow-up PSA",IF($T20=1,"Document psychosocial screening","No open gap")))))))))</f>
        <v/>
      </c>
      <c r="AA20" s="6">
        <f>IF($A20="","",IF($X20=0,"No open care gaps",$Y20&amp;" priority · "&amp;$Z20))</f>
        <v/>
      </c>
    </row>
    <row r="21">
      <c r="A21" s="6">
        <f>IF(Demographics_Entry!$A21="","",Demographics_Entry!$A21)</f>
        <v/>
      </c>
      <c r="B21" s="6">
        <f>IF($A21="","",IFERROR(INDEX(Demographics_Entry!$E$5:$E$104,MATCH($A21,Demographics_Entry!$A$5:$A$104,0)),""))</f>
        <v/>
      </c>
      <c r="C21" s="6">
        <f>IF($A21="","",IFERROR(INDEX(Clinical_Entry!$U$5:$U$104,MATCH($A21,Clinical_Entry!$A$5:$A$104,0)),""))</f>
        <v/>
      </c>
      <c r="D21" s="6">
        <f>IF($A21="","",IFERROR(INDEX(Clinical_Entry!$W$5:$W$104,MATCH($A21,Clinical_Entry!$A$5:$A$104,0)),""))</f>
        <v/>
      </c>
      <c r="E21" s="6">
        <f>IF($A21="","",IFERROR(INDEX(Clinical_Entry!$Y$5:$Y$104,MATCH($A21,Clinical_Entry!$A$5:$A$104,0)),""))</f>
        <v/>
      </c>
      <c r="F21" s="6">
        <f>IF($A21="","",IFERROR(INDEX(Clinical_Entry!$Z$5:$Z$104,MATCH($A21,Clinical_Entry!$A$5:$A$104,0)),""))</f>
        <v/>
      </c>
      <c r="G21" s="6">
        <f>IF($A21="","",IFERROR(INDEX(Treatment_Entry!$AA$5:$AA$104,MATCH($A21,Treatment_Entry!$A$5:$A$104,0)),""))</f>
        <v/>
      </c>
      <c r="H21" s="6">
        <f>IF($A21="","",IFERROR(INDEX(Clinical_Entry!$AB$5:$AB$104,MATCH($A21,Clinical_Entry!$A$5:$A$104,0)),""))</f>
        <v/>
      </c>
      <c r="I21" s="6">
        <f>IF($A21="","",IFERROR(INDEX(Clinical_Entry!$AC$5:$AC$104,MATCH($A21,Clinical_Entry!$A$5:$A$104,0)),""))</f>
        <v/>
      </c>
      <c r="J21" s="6">
        <f>IF($A21="","",IFERROR(INDEX(Treatment_Entry!$K$5:$K$104,MATCH($A21,Treatment_Entry!$A$5:$A$104,0)),""))</f>
        <v/>
      </c>
      <c r="K21" s="7">
        <f>IF($A21="","",IFERROR(INDEX(Treatment_Entry!$AC$5:$AC$104,MATCH($A21,Treatment_Entry!$A$5:$A$104,0)),""))</f>
        <v/>
      </c>
      <c r="L21" s="6">
        <f>IF($A21="","",IFERROR(INDEX(Treatment_Entry!$AE$5:$AE$104,MATCH($A21,Treatment_Entry!$A$5:$A$104,0)),""))</f>
        <v/>
      </c>
      <c r="M21" s="8">
        <f>IF($A21="","",IF(AND($E21="Not done",OR($C21="High",$C21="Very High / Locally Advanced",LEFT($C21,2)="M1")),1,0))</f>
        <v/>
      </c>
      <c r="N21" s="8">
        <f>IF($A21="","",IF(AND($F21="Not done",OR($C21="High",$C21="Very High / Locally Advanced")),1,0))</f>
        <v/>
      </c>
      <c r="O21" s="8">
        <f>IF($A21="","",IF($G21="Not started",1,0))</f>
        <v/>
      </c>
      <c r="P21" s="8">
        <f>IF($A21="","",IF($H21="Not done",1,0))</f>
        <v/>
      </c>
      <c r="Q21" s="8">
        <f>IF($A21="","",IF($I21="Not done",1,0))</f>
        <v/>
      </c>
      <c r="R21" s="8">
        <f>IF($A21="","",IF(AND($D21="Hormone-sensitive (HSPC)",$C21="High",$J21="Not initiated"),1,0))</f>
        <v/>
      </c>
      <c r="S21" s="8">
        <f>IF($A21="","",IF($K21="",1,0))</f>
        <v/>
      </c>
      <c r="T21" s="8">
        <f>IF($A21="","",IF(OR($L21="",$L21="Not done"),1,0))</f>
        <v/>
      </c>
      <c r="U21" s="8">
        <f>IF($A21="","",SUM($M21:$O21))</f>
        <v/>
      </c>
      <c r="V21" s="8">
        <f>IF($A21="","",SUM($P21:$R21))</f>
        <v/>
      </c>
      <c r="W21" s="8">
        <f>IF($A21="","",SUM($S21:$T21))</f>
        <v/>
      </c>
      <c r="X21" s="8">
        <f>IF($A21="","",SUM($U21:$W21))</f>
        <v/>
      </c>
      <c r="Y21" s="6">
        <f>IF($A21="","",IF($U21&gt;0,"Urgent",IF($V21&gt;0,"Warning",IF($W21&gt;0,"Info","Closed"))))</f>
        <v/>
      </c>
      <c r="Z21" s="6">
        <f>IF($A21="","",IF($M21=1,"Complete bone scan / SPECT",IF($N21=1,"Complete PSMA PET-CT",IF($O21=1,"Start bone protection plan",IF($P21=1,"Order DEXA",IF($Q21=1,"Order genomics",IF($R21=1,"Review ARSI intensification",IF($S21=1,"Schedule follow-up PSA",IF($T21=1,"Document psychosocial screening","No open gap")))))))))</f>
        <v/>
      </c>
      <c r="AA21" s="6">
        <f>IF($A21="","",IF($X21=0,"No open care gaps",$Y21&amp;" priority · "&amp;$Z21))</f>
        <v/>
      </c>
    </row>
    <row r="22">
      <c r="A22" s="6">
        <f>IF(Demographics_Entry!$A22="","",Demographics_Entry!$A22)</f>
        <v/>
      </c>
      <c r="B22" s="6">
        <f>IF($A22="","",IFERROR(INDEX(Demographics_Entry!$E$5:$E$104,MATCH($A22,Demographics_Entry!$A$5:$A$104,0)),""))</f>
        <v/>
      </c>
      <c r="C22" s="6">
        <f>IF($A22="","",IFERROR(INDEX(Clinical_Entry!$U$5:$U$104,MATCH($A22,Clinical_Entry!$A$5:$A$104,0)),""))</f>
        <v/>
      </c>
      <c r="D22" s="6">
        <f>IF($A22="","",IFERROR(INDEX(Clinical_Entry!$W$5:$W$104,MATCH($A22,Clinical_Entry!$A$5:$A$104,0)),""))</f>
        <v/>
      </c>
      <c r="E22" s="6">
        <f>IF($A22="","",IFERROR(INDEX(Clinical_Entry!$Y$5:$Y$104,MATCH($A22,Clinical_Entry!$A$5:$A$104,0)),""))</f>
        <v/>
      </c>
      <c r="F22" s="6">
        <f>IF($A22="","",IFERROR(INDEX(Clinical_Entry!$Z$5:$Z$104,MATCH($A22,Clinical_Entry!$A$5:$A$104,0)),""))</f>
        <v/>
      </c>
      <c r="G22" s="6">
        <f>IF($A22="","",IFERROR(INDEX(Treatment_Entry!$AA$5:$AA$104,MATCH($A22,Treatment_Entry!$A$5:$A$104,0)),""))</f>
        <v/>
      </c>
      <c r="H22" s="6">
        <f>IF($A22="","",IFERROR(INDEX(Clinical_Entry!$AB$5:$AB$104,MATCH($A22,Clinical_Entry!$A$5:$A$104,0)),""))</f>
        <v/>
      </c>
      <c r="I22" s="6">
        <f>IF($A22="","",IFERROR(INDEX(Clinical_Entry!$AC$5:$AC$104,MATCH($A22,Clinical_Entry!$A$5:$A$104,0)),""))</f>
        <v/>
      </c>
      <c r="J22" s="6">
        <f>IF($A22="","",IFERROR(INDEX(Treatment_Entry!$K$5:$K$104,MATCH($A22,Treatment_Entry!$A$5:$A$104,0)),""))</f>
        <v/>
      </c>
      <c r="K22" s="7">
        <f>IF($A22="","",IFERROR(INDEX(Treatment_Entry!$AC$5:$AC$104,MATCH($A22,Treatment_Entry!$A$5:$A$104,0)),""))</f>
        <v/>
      </c>
      <c r="L22" s="6">
        <f>IF($A22="","",IFERROR(INDEX(Treatment_Entry!$AE$5:$AE$104,MATCH($A22,Treatment_Entry!$A$5:$A$104,0)),""))</f>
        <v/>
      </c>
      <c r="M22" s="8">
        <f>IF($A22="","",IF(AND($E22="Not done",OR($C22="High",$C22="Very High / Locally Advanced",LEFT($C22,2)="M1")),1,0))</f>
        <v/>
      </c>
      <c r="N22" s="8">
        <f>IF($A22="","",IF(AND($F22="Not done",OR($C22="High",$C22="Very High / Locally Advanced")),1,0))</f>
        <v/>
      </c>
      <c r="O22" s="8">
        <f>IF($A22="","",IF($G22="Not started",1,0))</f>
        <v/>
      </c>
      <c r="P22" s="8">
        <f>IF($A22="","",IF($H22="Not done",1,0))</f>
        <v/>
      </c>
      <c r="Q22" s="8">
        <f>IF($A22="","",IF($I22="Not done",1,0))</f>
        <v/>
      </c>
      <c r="R22" s="8">
        <f>IF($A22="","",IF(AND($D22="Hormone-sensitive (HSPC)",$C22="High",$J22="Not initiated"),1,0))</f>
        <v/>
      </c>
      <c r="S22" s="8">
        <f>IF($A22="","",IF($K22="",1,0))</f>
        <v/>
      </c>
      <c r="T22" s="8">
        <f>IF($A22="","",IF(OR($L22="",$L22="Not done"),1,0))</f>
        <v/>
      </c>
      <c r="U22" s="8">
        <f>IF($A22="","",SUM($M22:$O22))</f>
        <v/>
      </c>
      <c r="V22" s="8">
        <f>IF($A22="","",SUM($P22:$R22))</f>
        <v/>
      </c>
      <c r="W22" s="8">
        <f>IF($A22="","",SUM($S22:$T22))</f>
        <v/>
      </c>
      <c r="X22" s="8">
        <f>IF($A22="","",SUM($U22:$W22))</f>
        <v/>
      </c>
      <c r="Y22" s="6">
        <f>IF($A22="","",IF($U22&gt;0,"Urgent",IF($V22&gt;0,"Warning",IF($W22&gt;0,"Info","Closed"))))</f>
        <v/>
      </c>
      <c r="Z22" s="6">
        <f>IF($A22="","",IF($M22=1,"Complete bone scan / SPECT",IF($N22=1,"Complete PSMA PET-CT",IF($O22=1,"Start bone protection plan",IF($P22=1,"Order DEXA",IF($Q22=1,"Order genomics",IF($R22=1,"Review ARSI intensification",IF($S22=1,"Schedule follow-up PSA",IF($T22=1,"Document psychosocial screening","No open gap")))))))))</f>
        <v/>
      </c>
      <c r="AA22" s="6">
        <f>IF($A22="","",IF($X22=0,"No open care gaps",$Y22&amp;" priority · "&amp;$Z22))</f>
        <v/>
      </c>
    </row>
    <row r="23">
      <c r="A23" s="6">
        <f>IF(Demographics_Entry!$A23="","",Demographics_Entry!$A23)</f>
        <v/>
      </c>
      <c r="B23" s="6">
        <f>IF($A23="","",IFERROR(INDEX(Demographics_Entry!$E$5:$E$104,MATCH($A23,Demographics_Entry!$A$5:$A$104,0)),""))</f>
        <v/>
      </c>
      <c r="C23" s="6">
        <f>IF($A23="","",IFERROR(INDEX(Clinical_Entry!$U$5:$U$104,MATCH($A23,Clinical_Entry!$A$5:$A$104,0)),""))</f>
        <v/>
      </c>
      <c r="D23" s="6">
        <f>IF($A23="","",IFERROR(INDEX(Clinical_Entry!$W$5:$W$104,MATCH($A23,Clinical_Entry!$A$5:$A$104,0)),""))</f>
        <v/>
      </c>
      <c r="E23" s="6">
        <f>IF($A23="","",IFERROR(INDEX(Clinical_Entry!$Y$5:$Y$104,MATCH($A23,Clinical_Entry!$A$5:$A$104,0)),""))</f>
        <v/>
      </c>
      <c r="F23" s="6">
        <f>IF($A23="","",IFERROR(INDEX(Clinical_Entry!$Z$5:$Z$104,MATCH($A23,Clinical_Entry!$A$5:$A$104,0)),""))</f>
        <v/>
      </c>
      <c r="G23" s="6">
        <f>IF($A23="","",IFERROR(INDEX(Treatment_Entry!$AA$5:$AA$104,MATCH($A23,Treatment_Entry!$A$5:$A$104,0)),""))</f>
        <v/>
      </c>
      <c r="H23" s="6">
        <f>IF($A23="","",IFERROR(INDEX(Clinical_Entry!$AB$5:$AB$104,MATCH($A23,Clinical_Entry!$A$5:$A$104,0)),""))</f>
        <v/>
      </c>
      <c r="I23" s="6">
        <f>IF($A23="","",IFERROR(INDEX(Clinical_Entry!$AC$5:$AC$104,MATCH($A23,Clinical_Entry!$A$5:$A$104,0)),""))</f>
        <v/>
      </c>
      <c r="J23" s="6">
        <f>IF($A23="","",IFERROR(INDEX(Treatment_Entry!$K$5:$K$104,MATCH($A23,Treatment_Entry!$A$5:$A$104,0)),""))</f>
        <v/>
      </c>
      <c r="K23" s="7">
        <f>IF($A23="","",IFERROR(INDEX(Treatment_Entry!$AC$5:$AC$104,MATCH($A23,Treatment_Entry!$A$5:$A$104,0)),""))</f>
        <v/>
      </c>
      <c r="L23" s="6">
        <f>IF($A23="","",IFERROR(INDEX(Treatment_Entry!$AE$5:$AE$104,MATCH($A23,Treatment_Entry!$A$5:$A$104,0)),""))</f>
        <v/>
      </c>
      <c r="M23" s="8">
        <f>IF($A23="","",IF(AND($E23="Not done",OR($C23="High",$C23="Very High / Locally Advanced",LEFT($C23,2)="M1")),1,0))</f>
        <v/>
      </c>
      <c r="N23" s="8">
        <f>IF($A23="","",IF(AND($F23="Not done",OR($C23="High",$C23="Very High / Locally Advanced")),1,0))</f>
        <v/>
      </c>
      <c r="O23" s="8">
        <f>IF($A23="","",IF($G23="Not started",1,0))</f>
        <v/>
      </c>
      <c r="P23" s="8">
        <f>IF($A23="","",IF($H23="Not done",1,0))</f>
        <v/>
      </c>
      <c r="Q23" s="8">
        <f>IF($A23="","",IF($I23="Not done",1,0))</f>
        <v/>
      </c>
      <c r="R23" s="8">
        <f>IF($A23="","",IF(AND($D23="Hormone-sensitive (HSPC)",$C23="High",$J23="Not initiated"),1,0))</f>
        <v/>
      </c>
      <c r="S23" s="8">
        <f>IF($A23="","",IF($K23="",1,0))</f>
        <v/>
      </c>
      <c r="T23" s="8">
        <f>IF($A23="","",IF(OR($L23="",$L23="Not done"),1,0))</f>
        <v/>
      </c>
      <c r="U23" s="8">
        <f>IF($A23="","",SUM($M23:$O23))</f>
        <v/>
      </c>
      <c r="V23" s="8">
        <f>IF($A23="","",SUM($P23:$R23))</f>
        <v/>
      </c>
      <c r="W23" s="8">
        <f>IF($A23="","",SUM($S23:$T23))</f>
        <v/>
      </c>
      <c r="X23" s="8">
        <f>IF($A23="","",SUM($U23:$W23))</f>
        <v/>
      </c>
      <c r="Y23" s="6">
        <f>IF($A23="","",IF($U23&gt;0,"Urgent",IF($V23&gt;0,"Warning",IF($W23&gt;0,"Info","Closed"))))</f>
        <v/>
      </c>
      <c r="Z23" s="6">
        <f>IF($A23="","",IF($M23=1,"Complete bone scan / SPECT",IF($N23=1,"Complete PSMA PET-CT",IF($O23=1,"Start bone protection plan",IF($P23=1,"Order DEXA",IF($Q23=1,"Order genomics",IF($R23=1,"Review ARSI intensification",IF($S23=1,"Schedule follow-up PSA",IF($T23=1,"Document psychosocial screening","No open gap")))))))))</f>
        <v/>
      </c>
      <c r="AA23" s="6">
        <f>IF($A23="","",IF($X23=0,"No open care gaps",$Y23&amp;" priority · "&amp;$Z23))</f>
        <v/>
      </c>
    </row>
    <row r="24">
      <c r="A24" s="6">
        <f>IF(Demographics_Entry!$A24="","",Demographics_Entry!$A24)</f>
        <v/>
      </c>
      <c r="B24" s="6">
        <f>IF($A24="","",IFERROR(INDEX(Demographics_Entry!$E$5:$E$104,MATCH($A24,Demographics_Entry!$A$5:$A$104,0)),""))</f>
        <v/>
      </c>
      <c r="C24" s="6">
        <f>IF($A24="","",IFERROR(INDEX(Clinical_Entry!$U$5:$U$104,MATCH($A24,Clinical_Entry!$A$5:$A$104,0)),""))</f>
        <v/>
      </c>
      <c r="D24" s="6">
        <f>IF($A24="","",IFERROR(INDEX(Clinical_Entry!$W$5:$W$104,MATCH($A24,Clinical_Entry!$A$5:$A$104,0)),""))</f>
        <v/>
      </c>
      <c r="E24" s="6">
        <f>IF($A24="","",IFERROR(INDEX(Clinical_Entry!$Y$5:$Y$104,MATCH($A24,Clinical_Entry!$A$5:$A$104,0)),""))</f>
        <v/>
      </c>
      <c r="F24" s="6">
        <f>IF($A24="","",IFERROR(INDEX(Clinical_Entry!$Z$5:$Z$104,MATCH($A24,Clinical_Entry!$A$5:$A$104,0)),""))</f>
        <v/>
      </c>
      <c r="G24" s="6">
        <f>IF($A24="","",IFERROR(INDEX(Treatment_Entry!$AA$5:$AA$104,MATCH($A24,Treatment_Entry!$A$5:$A$104,0)),""))</f>
        <v/>
      </c>
      <c r="H24" s="6">
        <f>IF($A24="","",IFERROR(INDEX(Clinical_Entry!$AB$5:$AB$104,MATCH($A24,Clinical_Entry!$A$5:$A$104,0)),""))</f>
        <v/>
      </c>
      <c r="I24" s="6">
        <f>IF($A24="","",IFERROR(INDEX(Clinical_Entry!$AC$5:$AC$104,MATCH($A24,Clinical_Entry!$A$5:$A$104,0)),""))</f>
        <v/>
      </c>
      <c r="J24" s="6">
        <f>IF($A24="","",IFERROR(INDEX(Treatment_Entry!$K$5:$K$104,MATCH($A24,Treatment_Entry!$A$5:$A$104,0)),""))</f>
        <v/>
      </c>
      <c r="K24" s="7">
        <f>IF($A24="","",IFERROR(INDEX(Treatment_Entry!$AC$5:$AC$104,MATCH($A24,Treatment_Entry!$A$5:$A$104,0)),""))</f>
        <v/>
      </c>
      <c r="L24" s="6">
        <f>IF($A24="","",IFERROR(INDEX(Treatment_Entry!$AE$5:$AE$104,MATCH($A24,Treatment_Entry!$A$5:$A$104,0)),""))</f>
        <v/>
      </c>
      <c r="M24" s="8">
        <f>IF($A24="","",IF(AND($E24="Not done",OR($C24="High",$C24="Very High / Locally Advanced",LEFT($C24,2)="M1")),1,0))</f>
        <v/>
      </c>
      <c r="N24" s="8">
        <f>IF($A24="","",IF(AND($F24="Not done",OR($C24="High",$C24="Very High / Locally Advanced")),1,0))</f>
        <v/>
      </c>
      <c r="O24" s="8">
        <f>IF($A24="","",IF($G24="Not started",1,0))</f>
        <v/>
      </c>
      <c r="P24" s="8">
        <f>IF($A24="","",IF($H24="Not done",1,0))</f>
        <v/>
      </c>
      <c r="Q24" s="8">
        <f>IF($A24="","",IF($I24="Not done",1,0))</f>
        <v/>
      </c>
      <c r="R24" s="8">
        <f>IF($A24="","",IF(AND($D24="Hormone-sensitive (HSPC)",$C24="High",$J24="Not initiated"),1,0))</f>
        <v/>
      </c>
      <c r="S24" s="8">
        <f>IF($A24="","",IF($K24="",1,0))</f>
        <v/>
      </c>
      <c r="T24" s="8">
        <f>IF($A24="","",IF(OR($L24="",$L24="Not done"),1,0))</f>
        <v/>
      </c>
      <c r="U24" s="8">
        <f>IF($A24="","",SUM($M24:$O24))</f>
        <v/>
      </c>
      <c r="V24" s="8">
        <f>IF($A24="","",SUM($P24:$R24))</f>
        <v/>
      </c>
      <c r="W24" s="8">
        <f>IF($A24="","",SUM($S24:$T24))</f>
        <v/>
      </c>
      <c r="X24" s="8">
        <f>IF($A24="","",SUM($U24:$W24))</f>
        <v/>
      </c>
      <c r="Y24" s="6">
        <f>IF($A24="","",IF($U24&gt;0,"Urgent",IF($V24&gt;0,"Warning",IF($W24&gt;0,"Info","Closed"))))</f>
        <v/>
      </c>
      <c r="Z24" s="6">
        <f>IF($A24="","",IF($M24=1,"Complete bone scan / SPECT",IF($N24=1,"Complete PSMA PET-CT",IF($O24=1,"Start bone protection plan",IF($P24=1,"Order DEXA",IF($Q24=1,"Order genomics",IF($R24=1,"Review ARSI intensification",IF($S24=1,"Schedule follow-up PSA",IF($T24=1,"Document psychosocial screening","No open gap")))))))))</f>
        <v/>
      </c>
      <c r="AA24" s="6">
        <f>IF($A24="","",IF($X24=0,"No open care gaps",$Y24&amp;" priority · "&amp;$Z24))</f>
        <v/>
      </c>
    </row>
    <row r="25">
      <c r="A25" s="6">
        <f>IF(Demographics_Entry!$A25="","",Demographics_Entry!$A25)</f>
        <v/>
      </c>
      <c r="B25" s="6">
        <f>IF($A25="","",IFERROR(INDEX(Demographics_Entry!$E$5:$E$104,MATCH($A25,Demographics_Entry!$A$5:$A$104,0)),""))</f>
        <v/>
      </c>
      <c r="C25" s="6">
        <f>IF($A25="","",IFERROR(INDEX(Clinical_Entry!$U$5:$U$104,MATCH($A25,Clinical_Entry!$A$5:$A$104,0)),""))</f>
        <v/>
      </c>
      <c r="D25" s="6">
        <f>IF($A25="","",IFERROR(INDEX(Clinical_Entry!$W$5:$W$104,MATCH($A25,Clinical_Entry!$A$5:$A$104,0)),""))</f>
        <v/>
      </c>
      <c r="E25" s="6">
        <f>IF($A25="","",IFERROR(INDEX(Clinical_Entry!$Y$5:$Y$104,MATCH($A25,Clinical_Entry!$A$5:$A$104,0)),""))</f>
        <v/>
      </c>
      <c r="F25" s="6">
        <f>IF($A25="","",IFERROR(INDEX(Clinical_Entry!$Z$5:$Z$104,MATCH($A25,Clinical_Entry!$A$5:$A$104,0)),""))</f>
        <v/>
      </c>
      <c r="G25" s="6">
        <f>IF($A25="","",IFERROR(INDEX(Treatment_Entry!$AA$5:$AA$104,MATCH($A25,Treatment_Entry!$A$5:$A$104,0)),""))</f>
        <v/>
      </c>
      <c r="H25" s="6">
        <f>IF($A25="","",IFERROR(INDEX(Clinical_Entry!$AB$5:$AB$104,MATCH($A25,Clinical_Entry!$A$5:$A$104,0)),""))</f>
        <v/>
      </c>
      <c r="I25" s="6">
        <f>IF($A25="","",IFERROR(INDEX(Clinical_Entry!$AC$5:$AC$104,MATCH($A25,Clinical_Entry!$A$5:$A$104,0)),""))</f>
        <v/>
      </c>
      <c r="J25" s="6">
        <f>IF($A25="","",IFERROR(INDEX(Treatment_Entry!$K$5:$K$104,MATCH($A25,Treatment_Entry!$A$5:$A$104,0)),""))</f>
        <v/>
      </c>
      <c r="K25" s="7">
        <f>IF($A25="","",IFERROR(INDEX(Treatment_Entry!$AC$5:$AC$104,MATCH($A25,Treatment_Entry!$A$5:$A$104,0)),""))</f>
        <v/>
      </c>
      <c r="L25" s="6">
        <f>IF($A25="","",IFERROR(INDEX(Treatment_Entry!$AE$5:$AE$104,MATCH($A25,Treatment_Entry!$A$5:$A$104,0)),""))</f>
        <v/>
      </c>
      <c r="M25" s="8">
        <f>IF($A25="","",IF(AND($E25="Not done",OR($C25="High",$C25="Very High / Locally Advanced",LEFT($C25,2)="M1")),1,0))</f>
        <v/>
      </c>
      <c r="N25" s="8">
        <f>IF($A25="","",IF(AND($F25="Not done",OR($C25="High",$C25="Very High / Locally Advanced")),1,0))</f>
        <v/>
      </c>
      <c r="O25" s="8">
        <f>IF($A25="","",IF($G25="Not started",1,0))</f>
        <v/>
      </c>
      <c r="P25" s="8">
        <f>IF($A25="","",IF($H25="Not done",1,0))</f>
        <v/>
      </c>
      <c r="Q25" s="8">
        <f>IF($A25="","",IF($I25="Not done",1,0))</f>
        <v/>
      </c>
      <c r="R25" s="8">
        <f>IF($A25="","",IF(AND($D25="Hormone-sensitive (HSPC)",$C25="High",$J25="Not initiated"),1,0))</f>
        <v/>
      </c>
      <c r="S25" s="8">
        <f>IF($A25="","",IF($K25="",1,0))</f>
        <v/>
      </c>
      <c r="T25" s="8">
        <f>IF($A25="","",IF(OR($L25="",$L25="Not done"),1,0))</f>
        <v/>
      </c>
      <c r="U25" s="8">
        <f>IF($A25="","",SUM($M25:$O25))</f>
        <v/>
      </c>
      <c r="V25" s="8">
        <f>IF($A25="","",SUM($P25:$R25))</f>
        <v/>
      </c>
      <c r="W25" s="8">
        <f>IF($A25="","",SUM($S25:$T25))</f>
        <v/>
      </c>
      <c r="X25" s="8">
        <f>IF($A25="","",SUM($U25:$W25))</f>
        <v/>
      </c>
      <c r="Y25" s="6">
        <f>IF($A25="","",IF($U25&gt;0,"Urgent",IF($V25&gt;0,"Warning",IF($W25&gt;0,"Info","Closed"))))</f>
        <v/>
      </c>
      <c r="Z25" s="6">
        <f>IF($A25="","",IF($M25=1,"Complete bone scan / SPECT",IF($N25=1,"Complete PSMA PET-CT",IF($O25=1,"Start bone protection plan",IF($P25=1,"Order DEXA",IF($Q25=1,"Order genomics",IF($R25=1,"Review ARSI intensification",IF($S25=1,"Schedule follow-up PSA",IF($T25=1,"Document psychosocial screening","No open gap")))))))))</f>
        <v/>
      </c>
      <c r="AA25" s="6">
        <f>IF($A25="","",IF($X25=0,"No open care gaps",$Y25&amp;" priority · "&amp;$Z25))</f>
        <v/>
      </c>
    </row>
    <row r="26">
      <c r="A26" s="6">
        <f>IF(Demographics_Entry!$A26="","",Demographics_Entry!$A26)</f>
        <v/>
      </c>
      <c r="B26" s="6">
        <f>IF($A26="","",IFERROR(INDEX(Demographics_Entry!$E$5:$E$104,MATCH($A26,Demographics_Entry!$A$5:$A$104,0)),""))</f>
        <v/>
      </c>
      <c r="C26" s="6">
        <f>IF($A26="","",IFERROR(INDEX(Clinical_Entry!$U$5:$U$104,MATCH($A26,Clinical_Entry!$A$5:$A$104,0)),""))</f>
        <v/>
      </c>
      <c r="D26" s="6">
        <f>IF($A26="","",IFERROR(INDEX(Clinical_Entry!$W$5:$W$104,MATCH($A26,Clinical_Entry!$A$5:$A$104,0)),""))</f>
        <v/>
      </c>
      <c r="E26" s="6">
        <f>IF($A26="","",IFERROR(INDEX(Clinical_Entry!$Y$5:$Y$104,MATCH($A26,Clinical_Entry!$A$5:$A$104,0)),""))</f>
        <v/>
      </c>
      <c r="F26" s="6">
        <f>IF($A26="","",IFERROR(INDEX(Clinical_Entry!$Z$5:$Z$104,MATCH($A26,Clinical_Entry!$A$5:$A$104,0)),""))</f>
        <v/>
      </c>
      <c r="G26" s="6">
        <f>IF($A26="","",IFERROR(INDEX(Treatment_Entry!$AA$5:$AA$104,MATCH($A26,Treatment_Entry!$A$5:$A$104,0)),""))</f>
        <v/>
      </c>
      <c r="H26" s="6">
        <f>IF($A26="","",IFERROR(INDEX(Clinical_Entry!$AB$5:$AB$104,MATCH($A26,Clinical_Entry!$A$5:$A$104,0)),""))</f>
        <v/>
      </c>
      <c r="I26" s="6">
        <f>IF($A26="","",IFERROR(INDEX(Clinical_Entry!$AC$5:$AC$104,MATCH($A26,Clinical_Entry!$A$5:$A$104,0)),""))</f>
        <v/>
      </c>
      <c r="J26" s="6">
        <f>IF($A26="","",IFERROR(INDEX(Treatment_Entry!$K$5:$K$104,MATCH($A26,Treatment_Entry!$A$5:$A$104,0)),""))</f>
        <v/>
      </c>
      <c r="K26" s="7">
        <f>IF($A26="","",IFERROR(INDEX(Treatment_Entry!$AC$5:$AC$104,MATCH($A26,Treatment_Entry!$A$5:$A$104,0)),""))</f>
        <v/>
      </c>
      <c r="L26" s="6">
        <f>IF($A26="","",IFERROR(INDEX(Treatment_Entry!$AE$5:$AE$104,MATCH($A26,Treatment_Entry!$A$5:$A$104,0)),""))</f>
        <v/>
      </c>
      <c r="M26" s="8">
        <f>IF($A26="","",IF(AND($E26="Not done",OR($C26="High",$C26="Very High / Locally Advanced",LEFT($C26,2)="M1")),1,0))</f>
        <v/>
      </c>
      <c r="N26" s="8">
        <f>IF($A26="","",IF(AND($F26="Not done",OR($C26="High",$C26="Very High / Locally Advanced")),1,0))</f>
        <v/>
      </c>
      <c r="O26" s="8">
        <f>IF($A26="","",IF($G26="Not started",1,0))</f>
        <v/>
      </c>
      <c r="P26" s="8">
        <f>IF($A26="","",IF($H26="Not done",1,0))</f>
        <v/>
      </c>
      <c r="Q26" s="8">
        <f>IF($A26="","",IF($I26="Not done",1,0))</f>
        <v/>
      </c>
      <c r="R26" s="8">
        <f>IF($A26="","",IF(AND($D26="Hormone-sensitive (HSPC)",$C26="High",$J26="Not initiated"),1,0))</f>
        <v/>
      </c>
      <c r="S26" s="8">
        <f>IF($A26="","",IF($K26="",1,0))</f>
        <v/>
      </c>
      <c r="T26" s="8">
        <f>IF($A26="","",IF(OR($L26="",$L26="Not done"),1,0))</f>
        <v/>
      </c>
      <c r="U26" s="8">
        <f>IF($A26="","",SUM($M26:$O26))</f>
        <v/>
      </c>
      <c r="V26" s="8">
        <f>IF($A26="","",SUM($P26:$R26))</f>
        <v/>
      </c>
      <c r="W26" s="8">
        <f>IF($A26="","",SUM($S26:$T26))</f>
        <v/>
      </c>
      <c r="X26" s="8">
        <f>IF($A26="","",SUM($U26:$W26))</f>
        <v/>
      </c>
      <c r="Y26" s="6">
        <f>IF($A26="","",IF($U26&gt;0,"Urgent",IF($V26&gt;0,"Warning",IF($W26&gt;0,"Info","Closed"))))</f>
        <v/>
      </c>
      <c r="Z26" s="6">
        <f>IF($A26="","",IF($M26=1,"Complete bone scan / SPECT",IF($N26=1,"Complete PSMA PET-CT",IF($O26=1,"Start bone protection plan",IF($P26=1,"Order DEXA",IF($Q26=1,"Order genomics",IF($R26=1,"Review ARSI intensification",IF($S26=1,"Schedule follow-up PSA",IF($T26=1,"Document psychosocial screening","No open gap")))))))))</f>
        <v/>
      </c>
      <c r="AA26" s="6">
        <f>IF($A26="","",IF($X26=0,"No open care gaps",$Y26&amp;" priority · "&amp;$Z26))</f>
        <v/>
      </c>
    </row>
    <row r="27">
      <c r="A27" s="6">
        <f>IF(Demographics_Entry!$A27="","",Demographics_Entry!$A27)</f>
        <v/>
      </c>
      <c r="B27" s="6">
        <f>IF($A27="","",IFERROR(INDEX(Demographics_Entry!$E$5:$E$104,MATCH($A27,Demographics_Entry!$A$5:$A$104,0)),""))</f>
        <v/>
      </c>
      <c r="C27" s="6">
        <f>IF($A27="","",IFERROR(INDEX(Clinical_Entry!$U$5:$U$104,MATCH($A27,Clinical_Entry!$A$5:$A$104,0)),""))</f>
        <v/>
      </c>
      <c r="D27" s="6">
        <f>IF($A27="","",IFERROR(INDEX(Clinical_Entry!$W$5:$W$104,MATCH($A27,Clinical_Entry!$A$5:$A$104,0)),""))</f>
        <v/>
      </c>
      <c r="E27" s="6">
        <f>IF($A27="","",IFERROR(INDEX(Clinical_Entry!$Y$5:$Y$104,MATCH($A27,Clinical_Entry!$A$5:$A$104,0)),""))</f>
        <v/>
      </c>
      <c r="F27" s="6">
        <f>IF($A27="","",IFERROR(INDEX(Clinical_Entry!$Z$5:$Z$104,MATCH($A27,Clinical_Entry!$A$5:$A$104,0)),""))</f>
        <v/>
      </c>
      <c r="G27" s="6">
        <f>IF($A27="","",IFERROR(INDEX(Treatment_Entry!$AA$5:$AA$104,MATCH($A27,Treatment_Entry!$A$5:$A$104,0)),""))</f>
        <v/>
      </c>
      <c r="H27" s="6">
        <f>IF($A27="","",IFERROR(INDEX(Clinical_Entry!$AB$5:$AB$104,MATCH($A27,Clinical_Entry!$A$5:$A$104,0)),""))</f>
        <v/>
      </c>
      <c r="I27" s="6">
        <f>IF($A27="","",IFERROR(INDEX(Clinical_Entry!$AC$5:$AC$104,MATCH($A27,Clinical_Entry!$A$5:$A$104,0)),""))</f>
        <v/>
      </c>
      <c r="J27" s="6">
        <f>IF($A27="","",IFERROR(INDEX(Treatment_Entry!$K$5:$K$104,MATCH($A27,Treatment_Entry!$A$5:$A$104,0)),""))</f>
        <v/>
      </c>
      <c r="K27" s="7">
        <f>IF($A27="","",IFERROR(INDEX(Treatment_Entry!$AC$5:$AC$104,MATCH($A27,Treatment_Entry!$A$5:$A$104,0)),""))</f>
        <v/>
      </c>
      <c r="L27" s="6">
        <f>IF($A27="","",IFERROR(INDEX(Treatment_Entry!$AE$5:$AE$104,MATCH($A27,Treatment_Entry!$A$5:$A$104,0)),""))</f>
        <v/>
      </c>
      <c r="M27" s="8">
        <f>IF($A27="","",IF(AND($E27="Not done",OR($C27="High",$C27="Very High / Locally Advanced",LEFT($C27,2)="M1")),1,0))</f>
        <v/>
      </c>
      <c r="N27" s="8">
        <f>IF($A27="","",IF(AND($F27="Not done",OR($C27="High",$C27="Very High / Locally Advanced")),1,0))</f>
        <v/>
      </c>
      <c r="O27" s="8">
        <f>IF($A27="","",IF($G27="Not started",1,0))</f>
        <v/>
      </c>
      <c r="P27" s="8">
        <f>IF($A27="","",IF($H27="Not done",1,0))</f>
        <v/>
      </c>
      <c r="Q27" s="8">
        <f>IF($A27="","",IF($I27="Not done",1,0))</f>
        <v/>
      </c>
      <c r="R27" s="8">
        <f>IF($A27="","",IF(AND($D27="Hormone-sensitive (HSPC)",$C27="High",$J27="Not initiated"),1,0))</f>
        <v/>
      </c>
      <c r="S27" s="8">
        <f>IF($A27="","",IF($K27="",1,0))</f>
        <v/>
      </c>
      <c r="T27" s="8">
        <f>IF($A27="","",IF(OR($L27="",$L27="Not done"),1,0))</f>
        <v/>
      </c>
      <c r="U27" s="8">
        <f>IF($A27="","",SUM($M27:$O27))</f>
        <v/>
      </c>
      <c r="V27" s="8">
        <f>IF($A27="","",SUM($P27:$R27))</f>
        <v/>
      </c>
      <c r="W27" s="8">
        <f>IF($A27="","",SUM($S27:$T27))</f>
        <v/>
      </c>
      <c r="X27" s="8">
        <f>IF($A27="","",SUM($U27:$W27))</f>
        <v/>
      </c>
      <c r="Y27" s="6">
        <f>IF($A27="","",IF($U27&gt;0,"Urgent",IF($V27&gt;0,"Warning",IF($W27&gt;0,"Info","Closed"))))</f>
        <v/>
      </c>
      <c r="Z27" s="6">
        <f>IF($A27="","",IF($M27=1,"Complete bone scan / SPECT",IF($N27=1,"Complete PSMA PET-CT",IF($O27=1,"Start bone protection plan",IF($P27=1,"Order DEXA",IF($Q27=1,"Order genomics",IF($R27=1,"Review ARSI intensification",IF($S27=1,"Schedule follow-up PSA",IF($T27=1,"Document psychosocial screening","No open gap")))))))))</f>
        <v/>
      </c>
      <c r="AA27" s="6">
        <f>IF($A27="","",IF($X27=0,"No open care gaps",$Y27&amp;" priority · "&amp;$Z27))</f>
        <v/>
      </c>
    </row>
    <row r="28">
      <c r="A28" s="6">
        <f>IF(Demographics_Entry!$A28="","",Demographics_Entry!$A28)</f>
        <v/>
      </c>
      <c r="B28" s="6">
        <f>IF($A28="","",IFERROR(INDEX(Demographics_Entry!$E$5:$E$104,MATCH($A28,Demographics_Entry!$A$5:$A$104,0)),""))</f>
        <v/>
      </c>
      <c r="C28" s="6">
        <f>IF($A28="","",IFERROR(INDEX(Clinical_Entry!$U$5:$U$104,MATCH($A28,Clinical_Entry!$A$5:$A$104,0)),""))</f>
        <v/>
      </c>
      <c r="D28" s="6">
        <f>IF($A28="","",IFERROR(INDEX(Clinical_Entry!$W$5:$W$104,MATCH($A28,Clinical_Entry!$A$5:$A$104,0)),""))</f>
        <v/>
      </c>
      <c r="E28" s="6">
        <f>IF($A28="","",IFERROR(INDEX(Clinical_Entry!$Y$5:$Y$104,MATCH($A28,Clinical_Entry!$A$5:$A$104,0)),""))</f>
        <v/>
      </c>
      <c r="F28" s="6">
        <f>IF($A28="","",IFERROR(INDEX(Clinical_Entry!$Z$5:$Z$104,MATCH($A28,Clinical_Entry!$A$5:$A$104,0)),""))</f>
        <v/>
      </c>
      <c r="G28" s="6">
        <f>IF($A28="","",IFERROR(INDEX(Treatment_Entry!$AA$5:$AA$104,MATCH($A28,Treatment_Entry!$A$5:$A$104,0)),""))</f>
        <v/>
      </c>
      <c r="H28" s="6">
        <f>IF($A28="","",IFERROR(INDEX(Clinical_Entry!$AB$5:$AB$104,MATCH($A28,Clinical_Entry!$A$5:$A$104,0)),""))</f>
        <v/>
      </c>
      <c r="I28" s="6">
        <f>IF($A28="","",IFERROR(INDEX(Clinical_Entry!$AC$5:$AC$104,MATCH($A28,Clinical_Entry!$A$5:$A$104,0)),""))</f>
        <v/>
      </c>
      <c r="J28" s="6">
        <f>IF($A28="","",IFERROR(INDEX(Treatment_Entry!$K$5:$K$104,MATCH($A28,Treatment_Entry!$A$5:$A$104,0)),""))</f>
        <v/>
      </c>
      <c r="K28" s="7">
        <f>IF($A28="","",IFERROR(INDEX(Treatment_Entry!$AC$5:$AC$104,MATCH($A28,Treatment_Entry!$A$5:$A$104,0)),""))</f>
        <v/>
      </c>
      <c r="L28" s="6">
        <f>IF($A28="","",IFERROR(INDEX(Treatment_Entry!$AE$5:$AE$104,MATCH($A28,Treatment_Entry!$A$5:$A$104,0)),""))</f>
        <v/>
      </c>
      <c r="M28" s="8">
        <f>IF($A28="","",IF(AND($E28="Not done",OR($C28="High",$C28="Very High / Locally Advanced",LEFT($C28,2)="M1")),1,0))</f>
        <v/>
      </c>
      <c r="N28" s="8">
        <f>IF($A28="","",IF(AND($F28="Not done",OR($C28="High",$C28="Very High / Locally Advanced")),1,0))</f>
        <v/>
      </c>
      <c r="O28" s="8">
        <f>IF($A28="","",IF($G28="Not started",1,0))</f>
        <v/>
      </c>
      <c r="P28" s="8">
        <f>IF($A28="","",IF($H28="Not done",1,0))</f>
        <v/>
      </c>
      <c r="Q28" s="8">
        <f>IF($A28="","",IF($I28="Not done",1,0))</f>
        <v/>
      </c>
      <c r="R28" s="8">
        <f>IF($A28="","",IF(AND($D28="Hormone-sensitive (HSPC)",$C28="High",$J28="Not initiated"),1,0))</f>
        <v/>
      </c>
      <c r="S28" s="8">
        <f>IF($A28="","",IF($K28="",1,0))</f>
        <v/>
      </c>
      <c r="T28" s="8">
        <f>IF($A28="","",IF(OR($L28="",$L28="Not done"),1,0))</f>
        <v/>
      </c>
      <c r="U28" s="8">
        <f>IF($A28="","",SUM($M28:$O28))</f>
        <v/>
      </c>
      <c r="V28" s="8">
        <f>IF($A28="","",SUM($P28:$R28))</f>
        <v/>
      </c>
      <c r="W28" s="8">
        <f>IF($A28="","",SUM($S28:$T28))</f>
        <v/>
      </c>
      <c r="X28" s="8">
        <f>IF($A28="","",SUM($U28:$W28))</f>
        <v/>
      </c>
      <c r="Y28" s="6">
        <f>IF($A28="","",IF($U28&gt;0,"Urgent",IF($V28&gt;0,"Warning",IF($W28&gt;0,"Info","Closed"))))</f>
        <v/>
      </c>
      <c r="Z28" s="6">
        <f>IF($A28="","",IF($M28=1,"Complete bone scan / SPECT",IF($N28=1,"Complete PSMA PET-CT",IF($O28=1,"Start bone protection plan",IF($P28=1,"Order DEXA",IF($Q28=1,"Order genomics",IF($R28=1,"Review ARSI intensification",IF($S28=1,"Schedule follow-up PSA",IF($T28=1,"Document psychosocial screening","No open gap")))))))))</f>
        <v/>
      </c>
      <c r="AA28" s="6">
        <f>IF($A28="","",IF($X28=0,"No open care gaps",$Y28&amp;" priority · "&amp;$Z28))</f>
        <v/>
      </c>
    </row>
    <row r="29">
      <c r="A29" s="6">
        <f>IF(Demographics_Entry!$A29="","",Demographics_Entry!$A29)</f>
        <v/>
      </c>
      <c r="B29" s="6">
        <f>IF($A29="","",IFERROR(INDEX(Demographics_Entry!$E$5:$E$104,MATCH($A29,Demographics_Entry!$A$5:$A$104,0)),""))</f>
        <v/>
      </c>
      <c r="C29" s="6">
        <f>IF($A29="","",IFERROR(INDEX(Clinical_Entry!$U$5:$U$104,MATCH($A29,Clinical_Entry!$A$5:$A$104,0)),""))</f>
        <v/>
      </c>
      <c r="D29" s="6">
        <f>IF($A29="","",IFERROR(INDEX(Clinical_Entry!$W$5:$W$104,MATCH($A29,Clinical_Entry!$A$5:$A$104,0)),""))</f>
        <v/>
      </c>
      <c r="E29" s="6">
        <f>IF($A29="","",IFERROR(INDEX(Clinical_Entry!$Y$5:$Y$104,MATCH($A29,Clinical_Entry!$A$5:$A$104,0)),""))</f>
        <v/>
      </c>
      <c r="F29" s="6">
        <f>IF($A29="","",IFERROR(INDEX(Clinical_Entry!$Z$5:$Z$104,MATCH($A29,Clinical_Entry!$A$5:$A$104,0)),""))</f>
        <v/>
      </c>
      <c r="G29" s="6">
        <f>IF($A29="","",IFERROR(INDEX(Treatment_Entry!$AA$5:$AA$104,MATCH($A29,Treatment_Entry!$A$5:$A$104,0)),""))</f>
        <v/>
      </c>
      <c r="H29" s="6">
        <f>IF($A29="","",IFERROR(INDEX(Clinical_Entry!$AB$5:$AB$104,MATCH($A29,Clinical_Entry!$A$5:$A$104,0)),""))</f>
        <v/>
      </c>
      <c r="I29" s="6">
        <f>IF($A29="","",IFERROR(INDEX(Clinical_Entry!$AC$5:$AC$104,MATCH($A29,Clinical_Entry!$A$5:$A$104,0)),""))</f>
        <v/>
      </c>
      <c r="J29" s="6">
        <f>IF($A29="","",IFERROR(INDEX(Treatment_Entry!$K$5:$K$104,MATCH($A29,Treatment_Entry!$A$5:$A$104,0)),""))</f>
        <v/>
      </c>
      <c r="K29" s="7">
        <f>IF($A29="","",IFERROR(INDEX(Treatment_Entry!$AC$5:$AC$104,MATCH($A29,Treatment_Entry!$A$5:$A$104,0)),""))</f>
        <v/>
      </c>
      <c r="L29" s="6">
        <f>IF($A29="","",IFERROR(INDEX(Treatment_Entry!$AE$5:$AE$104,MATCH($A29,Treatment_Entry!$A$5:$A$104,0)),""))</f>
        <v/>
      </c>
      <c r="M29" s="8">
        <f>IF($A29="","",IF(AND($E29="Not done",OR($C29="High",$C29="Very High / Locally Advanced",LEFT($C29,2)="M1")),1,0))</f>
        <v/>
      </c>
      <c r="N29" s="8">
        <f>IF($A29="","",IF(AND($F29="Not done",OR($C29="High",$C29="Very High / Locally Advanced")),1,0))</f>
        <v/>
      </c>
      <c r="O29" s="8">
        <f>IF($A29="","",IF($G29="Not started",1,0))</f>
        <v/>
      </c>
      <c r="P29" s="8">
        <f>IF($A29="","",IF($H29="Not done",1,0))</f>
        <v/>
      </c>
      <c r="Q29" s="8">
        <f>IF($A29="","",IF($I29="Not done",1,0))</f>
        <v/>
      </c>
      <c r="R29" s="8">
        <f>IF($A29="","",IF(AND($D29="Hormone-sensitive (HSPC)",$C29="High",$J29="Not initiated"),1,0))</f>
        <v/>
      </c>
      <c r="S29" s="8">
        <f>IF($A29="","",IF($K29="",1,0))</f>
        <v/>
      </c>
      <c r="T29" s="8">
        <f>IF($A29="","",IF(OR($L29="",$L29="Not done"),1,0))</f>
        <v/>
      </c>
      <c r="U29" s="8">
        <f>IF($A29="","",SUM($M29:$O29))</f>
        <v/>
      </c>
      <c r="V29" s="8">
        <f>IF($A29="","",SUM($P29:$R29))</f>
        <v/>
      </c>
      <c r="W29" s="8">
        <f>IF($A29="","",SUM($S29:$T29))</f>
        <v/>
      </c>
      <c r="X29" s="8">
        <f>IF($A29="","",SUM($U29:$W29))</f>
        <v/>
      </c>
      <c r="Y29" s="6">
        <f>IF($A29="","",IF($U29&gt;0,"Urgent",IF($V29&gt;0,"Warning",IF($W29&gt;0,"Info","Closed"))))</f>
        <v/>
      </c>
      <c r="Z29" s="6">
        <f>IF($A29="","",IF($M29=1,"Complete bone scan / SPECT",IF($N29=1,"Complete PSMA PET-CT",IF($O29=1,"Start bone protection plan",IF($P29=1,"Order DEXA",IF($Q29=1,"Order genomics",IF($R29=1,"Review ARSI intensification",IF($S29=1,"Schedule follow-up PSA",IF($T29=1,"Document psychosocial screening","No open gap")))))))))</f>
        <v/>
      </c>
      <c r="AA29" s="6">
        <f>IF($A29="","",IF($X29=0,"No open care gaps",$Y29&amp;" priority · "&amp;$Z29))</f>
        <v/>
      </c>
    </row>
    <row r="30">
      <c r="A30" s="6">
        <f>IF(Demographics_Entry!$A30="","",Demographics_Entry!$A30)</f>
        <v/>
      </c>
      <c r="B30" s="6">
        <f>IF($A30="","",IFERROR(INDEX(Demographics_Entry!$E$5:$E$104,MATCH($A30,Demographics_Entry!$A$5:$A$104,0)),""))</f>
        <v/>
      </c>
      <c r="C30" s="6">
        <f>IF($A30="","",IFERROR(INDEX(Clinical_Entry!$U$5:$U$104,MATCH($A30,Clinical_Entry!$A$5:$A$104,0)),""))</f>
        <v/>
      </c>
      <c r="D30" s="6">
        <f>IF($A30="","",IFERROR(INDEX(Clinical_Entry!$W$5:$W$104,MATCH($A30,Clinical_Entry!$A$5:$A$104,0)),""))</f>
        <v/>
      </c>
      <c r="E30" s="6">
        <f>IF($A30="","",IFERROR(INDEX(Clinical_Entry!$Y$5:$Y$104,MATCH($A30,Clinical_Entry!$A$5:$A$104,0)),""))</f>
        <v/>
      </c>
      <c r="F30" s="6">
        <f>IF($A30="","",IFERROR(INDEX(Clinical_Entry!$Z$5:$Z$104,MATCH($A30,Clinical_Entry!$A$5:$A$104,0)),""))</f>
        <v/>
      </c>
      <c r="G30" s="6">
        <f>IF($A30="","",IFERROR(INDEX(Treatment_Entry!$AA$5:$AA$104,MATCH($A30,Treatment_Entry!$A$5:$A$104,0)),""))</f>
        <v/>
      </c>
      <c r="H30" s="6">
        <f>IF($A30="","",IFERROR(INDEX(Clinical_Entry!$AB$5:$AB$104,MATCH($A30,Clinical_Entry!$A$5:$A$104,0)),""))</f>
        <v/>
      </c>
      <c r="I30" s="6">
        <f>IF($A30="","",IFERROR(INDEX(Clinical_Entry!$AC$5:$AC$104,MATCH($A30,Clinical_Entry!$A$5:$A$104,0)),""))</f>
        <v/>
      </c>
      <c r="J30" s="6">
        <f>IF($A30="","",IFERROR(INDEX(Treatment_Entry!$K$5:$K$104,MATCH($A30,Treatment_Entry!$A$5:$A$104,0)),""))</f>
        <v/>
      </c>
      <c r="K30" s="7">
        <f>IF($A30="","",IFERROR(INDEX(Treatment_Entry!$AC$5:$AC$104,MATCH($A30,Treatment_Entry!$A$5:$A$104,0)),""))</f>
        <v/>
      </c>
      <c r="L30" s="6">
        <f>IF($A30="","",IFERROR(INDEX(Treatment_Entry!$AE$5:$AE$104,MATCH($A30,Treatment_Entry!$A$5:$A$104,0)),""))</f>
        <v/>
      </c>
      <c r="M30" s="8">
        <f>IF($A30="","",IF(AND($E30="Not done",OR($C30="High",$C30="Very High / Locally Advanced",LEFT($C30,2)="M1")),1,0))</f>
        <v/>
      </c>
      <c r="N30" s="8">
        <f>IF($A30="","",IF(AND($F30="Not done",OR($C30="High",$C30="Very High / Locally Advanced")),1,0))</f>
        <v/>
      </c>
      <c r="O30" s="8">
        <f>IF($A30="","",IF($G30="Not started",1,0))</f>
        <v/>
      </c>
      <c r="P30" s="8">
        <f>IF($A30="","",IF($H30="Not done",1,0))</f>
        <v/>
      </c>
      <c r="Q30" s="8">
        <f>IF($A30="","",IF($I30="Not done",1,0))</f>
        <v/>
      </c>
      <c r="R30" s="8">
        <f>IF($A30="","",IF(AND($D30="Hormone-sensitive (HSPC)",$C30="High",$J30="Not initiated"),1,0))</f>
        <v/>
      </c>
      <c r="S30" s="8">
        <f>IF($A30="","",IF($K30="",1,0))</f>
        <v/>
      </c>
      <c r="T30" s="8">
        <f>IF($A30="","",IF(OR($L30="",$L30="Not done"),1,0))</f>
        <v/>
      </c>
      <c r="U30" s="8">
        <f>IF($A30="","",SUM($M30:$O30))</f>
        <v/>
      </c>
      <c r="V30" s="8">
        <f>IF($A30="","",SUM($P30:$R30))</f>
        <v/>
      </c>
      <c r="W30" s="8">
        <f>IF($A30="","",SUM($S30:$T30))</f>
        <v/>
      </c>
      <c r="X30" s="8">
        <f>IF($A30="","",SUM($U30:$W30))</f>
        <v/>
      </c>
      <c r="Y30" s="6">
        <f>IF($A30="","",IF($U30&gt;0,"Urgent",IF($V30&gt;0,"Warning",IF($W30&gt;0,"Info","Closed"))))</f>
        <v/>
      </c>
      <c r="Z30" s="6">
        <f>IF($A30="","",IF($M30=1,"Complete bone scan / SPECT",IF($N30=1,"Complete PSMA PET-CT",IF($O30=1,"Start bone protection plan",IF($P30=1,"Order DEXA",IF($Q30=1,"Order genomics",IF($R30=1,"Review ARSI intensification",IF($S30=1,"Schedule follow-up PSA",IF($T30=1,"Document psychosocial screening","No open gap")))))))))</f>
        <v/>
      </c>
      <c r="AA30" s="6">
        <f>IF($A30="","",IF($X30=0,"No open care gaps",$Y30&amp;" priority · "&amp;$Z30))</f>
        <v/>
      </c>
    </row>
    <row r="31">
      <c r="A31" s="6">
        <f>IF(Demographics_Entry!$A31="","",Demographics_Entry!$A31)</f>
        <v/>
      </c>
      <c r="B31" s="6">
        <f>IF($A31="","",IFERROR(INDEX(Demographics_Entry!$E$5:$E$104,MATCH($A31,Demographics_Entry!$A$5:$A$104,0)),""))</f>
        <v/>
      </c>
      <c r="C31" s="6">
        <f>IF($A31="","",IFERROR(INDEX(Clinical_Entry!$U$5:$U$104,MATCH($A31,Clinical_Entry!$A$5:$A$104,0)),""))</f>
        <v/>
      </c>
      <c r="D31" s="6">
        <f>IF($A31="","",IFERROR(INDEX(Clinical_Entry!$W$5:$W$104,MATCH($A31,Clinical_Entry!$A$5:$A$104,0)),""))</f>
        <v/>
      </c>
      <c r="E31" s="6">
        <f>IF($A31="","",IFERROR(INDEX(Clinical_Entry!$Y$5:$Y$104,MATCH($A31,Clinical_Entry!$A$5:$A$104,0)),""))</f>
        <v/>
      </c>
      <c r="F31" s="6">
        <f>IF($A31="","",IFERROR(INDEX(Clinical_Entry!$Z$5:$Z$104,MATCH($A31,Clinical_Entry!$A$5:$A$104,0)),""))</f>
        <v/>
      </c>
      <c r="G31" s="6">
        <f>IF($A31="","",IFERROR(INDEX(Treatment_Entry!$AA$5:$AA$104,MATCH($A31,Treatment_Entry!$A$5:$A$104,0)),""))</f>
        <v/>
      </c>
      <c r="H31" s="6">
        <f>IF($A31="","",IFERROR(INDEX(Clinical_Entry!$AB$5:$AB$104,MATCH($A31,Clinical_Entry!$A$5:$A$104,0)),""))</f>
        <v/>
      </c>
      <c r="I31" s="6">
        <f>IF($A31="","",IFERROR(INDEX(Clinical_Entry!$AC$5:$AC$104,MATCH($A31,Clinical_Entry!$A$5:$A$104,0)),""))</f>
        <v/>
      </c>
      <c r="J31" s="6">
        <f>IF($A31="","",IFERROR(INDEX(Treatment_Entry!$K$5:$K$104,MATCH($A31,Treatment_Entry!$A$5:$A$104,0)),""))</f>
        <v/>
      </c>
      <c r="K31" s="7">
        <f>IF($A31="","",IFERROR(INDEX(Treatment_Entry!$AC$5:$AC$104,MATCH($A31,Treatment_Entry!$A$5:$A$104,0)),""))</f>
        <v/>
      </c>
      <c r="L31" s="6">
        <f>IF($A31="","",IFERROR(INDEX(Treatment_Entry!$AE$5:$AE$104,MATCH($A31,Treatment_Entry!$A$5:$A$104,0)),""))</f>
        <v/>
      </c>
      <c r="M31" s="8">
        <f>IF($A31="","",IF(AND($E31="Not done",OR($C31="High",$C31="Very High / Locally Advanced",LEFT($C31,2)="M1")),1,0))</f>
        <v/>
      </c>
      <c r="N31" s="8">
        <f>IF($A31="","",IF(AND($F31="Not done",OR($C31="High",$C31="Very High / Locally Advanced")),1,0))</f>
        <v/>
      </c>
      <c r="O31" s="8">
        <f>IF($A31="","",IF($G31="Not started",1,0))</f>
        <v/>
      </c>
      <c r="P31" s="8">
        <f>IF($A31="","",IF($H31="Not done",1,0))</f>
        <v/>
      </c>
      <c r="Q31" s="8">
        <f>IF($A31="","",IF($I31="Not done",1,0))</f>
        <v/>
      </c>
      <c r="R31" s="8">
        <f>IF($A31="","",IF(AND($D31="Hormone-sensitive (HSPC)",$C31="High",$J31="Not initiated"),1,0))</f>
        <v/>
      </c>
      <c r="S31" s="8">
        <f>IF($A31="","",IF($K31="",1,0))</f>
        <v/>
      </c>
      <c r="T31" s="8">
        <f>IF($A31="","",IF(OR($L31="",$L31="Not done"),1,0))</f>
        <v/>
      </c>
      <c r="U31" s="8">
        <f>IF($A31="","",SUM($M31:$O31))</f>
        <v/>
      </c>
      <c r="V31" s="8">
        <f>IF($A31="","",SUM($P31:$R31))</f>
        <v/>
      </c>
      <c r="W31" s="8">
        <f>IF($A31="","",SUM($S31:$T31))</f>
        <v/>
      </c>
      <c r="X31" s="8">
        <f>IF($A31="","",SUM($U31:$W31))</f>
        <v/>
      </c>
      <c r="Y31" s="6">
        <f>IF($A31="","",IF($U31&gt;0,"Urgent",IF($V31&gt;0,"Warning",IF($W31&gt;0,"Info","Closed"))))</f>
        <v/>
      </c>
      <c r="Z31" s="6">
        <f>IF($A31="","",IF($M31=1,"Complete bone scan / SPECT",IF($N31=1,"Complete PSMA PET-CT",IF($O31=1,"Start bone protection plan",IF($P31=1,"Order DEXA",IF($Q31=1,"Order genomics",IF($R31=1,"Review ARSI intensification",IF($S31=1,"Schedule follow-up PSA",IF($T31=1,"Document psychosocial screening","No open gap")))))))))</f>
        <v/>
      </c>
      <c r="AA31" s="6">
        <f>IF($A31="","",IF($X31=0,"No open care gaps",$Y31&amp;" priority · "&amp;$Z31))</f>
        <v/>
      </c>
    </row>
    <row r="32">
      <c r="A32" s="6">
        <f>IF(Demographics_Entry!$A32="","",Demographics_Entry!$A32)</f>
        <v/>
      </c>
      <c r="B32" s="6">
        <f>IF($A32="","",IFERROR(INDEX(Demographics_Entry!$E$5:$E$104,MATCH($A32,Demographics_Entry!$A$5:$A$104,0)),""))</f>
        <v/>
      </c>
      <c r="C32" s="6">
        <f>IF($A32="","",IFERROR(INDEX(Clinical_Entry!$U$5:$U$104,MATCH($A32,Clinical_Entry!$A$5:$A$104,0)),""))</f>
        <v/>
      </c>
      <c r="D32" s="6">
        <f>IF($A32="","",IFERROR(INDEX(Clinical_Entry!$W$5:$W$104,MATCH($A32,Clinical_Entry!$A$5:$A$104,0)),""))</f>
        <v/>
      </c>
      <c r="E32" s="6">
        <f>IF($A32="","",IFERROR(INDEX(Clinical_Entry!$Y$5:$Y$104,MATCH($A32,Clinical_Entry!$A$5:$A$104,0)),""))</f>
        <v/>
      </c>
      <c r="F32" s="6">
        <f>IF($A32="","",IFERROR(INDEX(Clinical_Entry!$Z$5:$Z$104,MATCH($A32,Clinical_Entry!$A$5:$A$104,0)),""))</f>
        <v/>
      </c>
      <c r="G32" s="6">
        <f>IF($A32="","",IFERROR(INDEX(Treatment_Entry!$AA$5:$AA$104,MATCH($A32,Treatment_Entry!$A$5:$A$104,0)),""))</f>
        <v/>
      </c>
      <c r="H32" s="6">
        <f>IF($A32="","",IFERROR(INDEX(Clinical_Entry!$AB$5:$AB$104,MATCH($A32,Clinical_Entry!$A$5:$A$104,0)),""))</f>
        <v/>
      </c>
      <c r="I32" s="6">
        <f>IF($A32="","",IFERROR(INDEX(Clinical_Entry!$AC$5:$AC$104,MATCH($A32,Clinical_Entry!$A$5:$A$104,0)),""))</f>
        <v/>
      </c>
      <c r="J32" s="6">
        <f>IF($A32="","",IFERROR(INDEX(Treatment_Entry!$K$5:$K$104,MATCH($A32,Treatment_Entry!$A$5:$A$104,0)),""))</f>
        <v/>
      </c>
      <c r="K32" s="7">
        <f>IF($A32="","",IFERROR(INDEX(Treatment_Entry!$AC$5:$AC$104,MATCH($A32,Treatment_Entry!$A$5:$A$104,0)),""))</f>
        <v/>
      </c>
      <c r="L32" s="6">
        <f>IF($A32="","",IFERROR(INDEX(Treatment_Entry!$AE$5:$AE$104,MATCH($A32,Treatment_Entry!$A$5:$A$104,0)),""))</f>
        <v/>
      </c>
      <c r="M32" s="8">
        <f>IF($A32="","",IF(AND($E32="Not done",OR($C32="High",$C32="Very High / Locally Advanced",LEFT($C32,2)="M1")),1,0))</f>
        <v/>
      </c>
      <c r="N32" s="8">
        <f>IF($A32="","",IF(AND($F32="Not done",OR($C32="High",$C32="Very High / Locally Advanced")),1,0))</f>
        <v/>
      </c>
      <c r="O32" s="8">
        <f>IF($A32="","",IF($G32="Not started",1,0))</f>
        <v/>
      </c>
      <c r="P32" s="8">
        <f>IF($A32="","",IF($H32="Not done",1,0))</f>
        <v/>
      </c>
      <c r="Q32" s="8">
        <f>IF($A32="","",IF($I32="Not done",1,0))</f>
        <v/>
      </c>
      <c r="R32" s="8">
        <f>IF($A32="","",IF(AND($D32="Hormone-sensitive (HSPC)",$C32="High",$J32="Not initiated"),1,0))</f>
        <v/>
      </c>
      <c r="S32" s="8">
        <f>IF($A32="","",IF($K32="",1,0))</f>
        <v/>
      </c>
      <c r="T32" s="8">
        <f>IF($A32="","",IF(OR($L32="",$L32="Not done"),1,0))</f>
        <v/>
      </c>
      <c r="U32" s="8">
        <f>IF($A32="","",SUM($M32:$O32))</f>
        <v/>
      </c>
      <c r="V32" s="8">
        <f>IF($A32="","",SUM($P32:$R32))</f>
        <v/>
      </c>
      <c r="W32" s="8">
        <f>IF($A32="","",SUM($S32:$T32))</f>
        <v/>
      </c>
      <c r="X32" s="8">
        <f>IF($A32="","",SUM($U32:$W32))</f>
        <v/>
      </c>
      <c r="Y32" s="6">
        <f>IF($A32="","",IF($U32&gt;0,"Urgent",IF($V32&gt;0,"Warning",IF($W32&gt;0,"Info","Closed"))))</f>
        <v/>
      </c>
      <c r="Z32" s="6">
        <f>IF($A32="","",IF($M32=1,"Complete bone scan / SPECT",IF($N32=1,"Complete PSMA PET-CT",IF($O32=1,"Start bone protection plan",IF($P32=1,"Order DEXA",IF($Q32=1,"Order genomics",IF($R32=1,"Review ARSI intensification",IF($S32=1,"Schedule follow-up PSA",IF($T32=1,"Document psychosocial screening","No open gap")))))))))</f>
        <v/>
      </c>
      <c r="AA32" s="6">
        <f>IF($A32="","",IF($X32=0,"No open care gaps",$Y32&amp;" priority · "&amp;$Z32))</f>
        <v/>
      </c>
    </row>
    <row r="33">
      <c r="A33" s="6">
        <f>IF(Demographics_Entry!$A33="","",Demographics_Entry!$A33)</f>
        <v/>
      </c>
      <c r="B33" s="6">
        <f>IF($A33="","",IFERROR(INDEX(Demographics_Entry!$E$5:$E$104,MATCH($A33,Demographics_Entry!$A$5:$A$104,0)),""))</f>
        <v/>
      </c>
      <c r="C33" s="6">
        <f>IF($A33="","",IFERROR(INDEX(Clinical_Entry!$U$5:$U$104,MATCH($A33,Clinical_Entry!$A$5:$A$104,0)),""))</f>
        <v/>
      </c>
      <c r="D33" s="6">
        <f>IF($A33="","",IFERROR(INDEX(Clinical_Entry!$W$5:$W$104,MATCH($A33,Clinical_Entry!$A$5:$A$104,0)),""))</f>
        <v/>
      </c>
      <c r="E33" s="6">
        <f>IF($A33="","",IFERROR(INDEX(Clinical_Entry!$Y$5:$Y$104,MATCH($A33,Clinical_Entry!$A$5:$A$104,0)),""))</f>
        <v/>
      </c>
      <c r="F33" s="6">
        <f>IF($A33="","",IFERROR(INDEX(Clinical_Entry!$Z$5:$Z$104,MATCH($A33,Clinical_Entry!$A$5:$A$104,0)),""))</f>
        <v/>
      </c>
      <c r="G33" s="6">
        <f>IF($A33="","",IFERROR(INDEX(Treatment_Entry!$AA$5:$AA$104,MATCH($A33,Treatment_Entry!$A$5:$A$104,0)),""))</f>
        <v/>
      </c>
      <c r="H33" s="6">
        <f>IF($A33="","",IFERROR(INDEX(Clinical_Entry!$AB$5:$AB$104,MATCH($A33,Clinical_Entry!$A$5:$A$104,0)),""))</f>
        <v/>
      </c>
      <c r="I33" s="6">
        <f>IF($A33="","",IFERROR(INDEX(Clinical_Entry!$AC$5:$AC$104,MATCH($A33,Clinical_Entry!$A$5:$A$104,0)),""))</f>
        <v/>
      </c>
      <c r="J33" s="6">
        <f>IF($A33="","",IFERROR(INDEX(Treatment_Entry!$K$5:$K$104,MATCH($A33,Treatment_Entry!$A$5:$A$104,0)),""))</f>
        <v/>
      </c>
      <c r="K33" s="7">
        <f>IF($A33="","",IFERROR(INDEX(Treatment_Entry!$AC$5:$AC$104,MATCH($A33,Treatment_Entry!$A$5:$A$104,0)),""))</f>
        <v/>
      </c>
      <c r="L33" s="6">
        <f>IF($A33="","",IFERROR(INDEX(Treatment_Entry!$AE$5:$AE$104,MATCH($A33,Treatment_Entry!$A$5:$A$104,0)),""))</f>
        <v/>
      </c>
      <c r="M33" s="8">
        <f>IF($A33="","",IF(AND($E33="Not done",OR($C33="High",$C33="Very High / Locally Advanced",LEFT($C33,2)="M1")),1,0))</f>
        <v/>
      </c>
      <c r="N33" s="8">
        <f>IF($A33="","",IF(AND($F33="Not done",OR($C33="High",$C33="Very High / Locally Advanced")),1,0))</f>
        <v/>
      </c>
      <c r="O33" s="8">
        <f>IF($A33="","",IF($G33="Not started",1,0))</f>
        <v/>
      </c>
      <c r="P33" s="8">
        <f>IF($A33="","",IF($H33="Not done",1,0))</f>
        <v/>
      </c>
      <c r="Q33" s="8">
        <f>IF($A33="","",IF($I33="Not done",1,0))</f>
        <v/>
      </c>
      <c r="R33" s="8">
        <f>IF($A33="","",IF(AND($D33="Hormone-sensitive (HSPC)",$C33="High",$J33="Not initiated"),1,0))</f>
        <v/>
      </c>
      <c r="S33" s="8">
        <f>IF($A33="","",IF($K33="",1,0))</f>
        <v/>
      </c>
      <c r="T33" s="8">
        <f>IF($A33="","",IF(OR($L33="",$L33="Not done"),1,0))</f>
        <v/>
      </c>
      <c r="U33" s="8">
        <f>IF($A33="","",SUM($M33:$O33))</f>
        <v/>
      </c>
      <c r="V33" s="8">
        <f>IF($A33="","",SUM($P33:$R33))</f>
        <v/>
      </c>
      <c r="W33" s="8">
        <f>IF($A33="","",SUM($S33:$T33))</f>
        <v/>
      </c>
      <c r="X33" s="8">
        <f>IF($A33="","",SUM($U33:$W33))</f>
        <v/>
      </c>
      <c r="Y33" s="6">
        <f>IF($A33="","",IF($U33&gt;0,"Urgent",IF($V33&gt;0,"Warning",IF($W33&gt;0,"Info","Closed"))))</f>
        <v/>
      </c>
      <c r="Z33" s="6">
        <f>IF($A33="","",IF($M33=1,"Complete bone scan / SPECT",IF($N33=1,"Complete PSMA PET-CT",IF($O33=1,"Start bone protection plan",IF($P33=1,"Order DEXA",IF($Q33=1,"Order genomics",IF($R33=1,"Review ARSI intensification",IF($S33=1,"Schedule follow-up PSA",IF($T33=1,"Document psychosocial screening","No open gap")))))))))</f>
        <v/>
      </c>
      <c r="AA33" s="6">
        <f>IF($A33="","",IF($X33=0,"No open care gaps",$Y33&amp;" priority · "&amp;$Z33))</f>
        <v/>
      </c>
    </row>
    <row r="34">
      <c r="A34" s="6">
        <f>IF(Demographics_Entry!$A34="","",Demographics_Entry!$A34)</f>
        <v/>
      </c>
      <c r="B34" s="6">
        <f>IF($A34="","",IFERROR(INDEX(Demographics_Entry!$E$5:$E$104,MATCH($A34,Demographics_Entry!$A$5:$A$104,0)),""))</f>
        <v/>
      </c>
      <c r="C34" s="6">
        <f>IF($A34="","",IFERROR(INDEX(Clinical_Entry!$U$5:$U$104,MATCH($A34,Clinical_Entry!$A$5:$A$104,0)),""))</f>
        <v/>
      </c>
      <c r="D34" s="6">
        <f>IF($A34="","",IFERROR(INDEX(Clinical_Entry!$W$5:$W$104,MATCH($A34,Clinical_Entry!$A$5:$A$104,0)),""))</f>
        <v/>
      </c>
      <c r="E34" s="6">
        <f>IF($A34="","",IFERROR(INDEX(Clinical_Entry!$Y$5:$Y$104,MATCH($A34,Clinical_Entry!$A$5:$A$104,0)),""))</f>
        <v/>
      </c>
      <c r="F34" s="6">
        <f>IF($A34="","",IFERROR(INDEX(Clinical_Entry!$Z$5:$Z$104,MATCH($A34,Clinical_Entry!$A$5:$A$104,0)),""))</f>
        <v/>
      </c>
      <c r="G34" s="6">
        <f>IF($A34="","",IFERROR(INDEX(Treatment_Entry!$AA$5:$AA$104,MATCH($A34,Treatment_Entry!$A$5:$A$104,0)),""))</f>
        <v/>
      </c>
      <c r="H34" s="6">
        <f>IF($A34="","",IFERROR(INDEX(Clinical_Entry!$AB$5:$AB$104,MATCH($A34,Clinical_Entry!$A$5:$A$104,0)),""))</f>
        <v/>
      </c>
      <c r="I34" s="6">
        <f>IF($A34="","",IFERROR(INDEX(Clinical_Entry!$AC$5:$AC$104,MATCH($A34,Clinical_Entry!$A$5:$A$104,0)),""))</f>
        <v/>
      </c>
      <c r="J34" s="6">
        <f>IF($A34="","",IFERROR(INDEX(Treatment_Entry!$K$5:$K$104,MATCH($A34,Treatment_Entry!$A$5:$A$104,0)),""))</f>
        <v/>
      </c>
      <c r="K34" s="7">
        <f>IF($A34="","",IFERROR(INDEX(Treatment_Entry!$AC$5:$AC$104,MATCH($A34,Treatment_Entry!$A$5:$A$104,0)),""))</f>
        <v/>
      </c>
      <c r="L34" s="6">
        <f>IF($A34="","",IFERROR(INDEX(Treatment_Entry!$AE$5:$AE$104,MATCH($A34,Treatment_Entry!$A$5:$A$104,0)),""))</f>
        <v/>
      </c>
      <c r="M34" s="8">
        <f>IF($A34="","",IF(AND($E34="Not done",OR($C34="High",$C34="Very High / Locally Advanced",LEFT($C34,2)="M1")),1,0))</f>
        <v/>
      </c>
      <c r="N34" s="8">
        <f>IF($A34="","",IF(AND($F34="Not done",OR($C34="High",$C34="Very High / Locally Advanced")),1,0))</f>
        <v/>
      </c>
      <c r="O34" s="8">
        <f>IF($A34="","",IF($G34="Not started",1,0))</f>
        <v/>
      </c>
      <c r="P34" s="8">
        <f>IF($A34="","",IF($H34="Not done",1,0))</f>
        <v/>
      </c>
      <c r="Q34" s="8">
        <f>IF($A34="","",IF($I34="Not done",1,0))</f>
        <v/>
      </c>
      <c r="R34" s="8">
        <f>IF($A34="","",IF(AND($D34="Hormone-sensitive (HSPC)",$C34="High",$J34="Not initiated"),1,0))</f>
        <v/>
      </c>
      <c r="S34" s="8">
        <f>IF($A34="","",IF($K34="",1,0))</f>
        <v/>
      </c>
      <c r="T34" s="8">
        <f>IF($A34="","",IF(OR($L34="",$L34="Not done"),1,0))</f>
        <v/>
      </c>
      <c r="U34" s="8">
        <f>IF($A34="","",SUM($M34:$O34))</f>
        <v/>
      </c>
      <c r="V34" s="8">
        <f>IF($A34="","",SUM($P34:$R34))</f>
        <v/>
      </c>
      <c r="W34" s="8">
        <f>IF($A34="","",SUM($S34:$T34))</f>
        <v/>
      </c>
      <c r="X34" s="8">
        <f>IF($A34="","",SUM($U34:$W34))</f>
        <v/>
      </c>
      <c r="Y34" s="6">
        <f>IF($A34="","",IF($U34&gt;0,"Urgent",IF($V34&gt;0,"Warning",IF($W34&gt;0,"Info","Closed"))))</f>
        <v/>
      </c>
      <c r="Z34" s="6">
        <f>IF($A34="","",IF($M34=1,"Complete bone scan / SPECT",IF($N34=1,"Complete PSMA PET-CT",IF($O34=1,"Start bone protection plan",IF($P34=1,"Order DEXA",IF($Q34=1,"Order genomics",IF($R34=1,"Review ARSI intensification",IF($S34=1,"Schedule follow-up PSA",IF($T34=1,"Document psychosocial screening","No open gap")))))))))</f>
        <v/>
      </c>
      <c r="AA34" s="6">
        <f>IF($A34="","",IF($X34=0,"No open care gaps",$Y34&amp;" priority · "&amp;$Z34))</f>
        <v/>
      </c>
    </row>
    <row r="35">
      <c r="A35" s="6">
        <f>IF(Demographics_Entry!$A35="","",Demographics_Entry!$A35)</f>
        <v/>
      </c>
      <c r="B35" s="6">
        <f>IF($A35="","",IFERROR(INDEX(Demographics_Entry!$E$5:$E$104,MATCH($A35,Demographics_Entry!$A$5:$A$104,0)),""))</f>
        <v/>
      </c>
      <c r="C35" s="6">
        <f>IF($A35="","",IFERROR(INDEX(Clinical_Entry!$U$5:$U$104,MATCH($A35,Clinical_Entry!$A$5:$A$104,0)),""))</f>
        <v/>
      </c>
      <c r="D35" s="6">
        <f>IF($A35="","",IFERROR(INDEX(Clinical_Entry!$W$5:$W$104,MATCH($A35,Clinical_Entry!$A$5:$A$104,0)),""))</f>
        <v/>
      </c>
      <c r="E35" s="6">
        <f>IF($A35="","",IFERROR(INDEX(Clinical_Entry!$Y$5:$Y$104,MATCH($A35,Clinical_Entry!$A$5:$A$104,0)),""))</f>
        <v/>
      </c>
      <c r="F35" s="6">
        <f>IF($A35="","",IFERROR(INDEX(Clinical_Entry!$Z$5:$Z$104,MATCH($A35,Clinical_Entry!$A$5:$A$104,0)),""))</f>
        <v/>
      </c>
      <c r="G35" s="6">
        <f>IF($A35="","",IFERROR(INDEX(Treatment_Entry!$AA$5:$AA$104,MATCH($A35,Treatment_Entry!$A$5:$A$104,0)),""))</f>
        <v/>
      </c>
      <c r="H35" s="6">
        <f>IF($A35="","",IFERROR(INDEX(Clinical_Entry!$AB$5:$AB$104,MATCH($A35,Clinical_Entry!$A$5:$A$104,0)),""))</f>
        <v/>
      </c>
      <c r="I35" s="6">
        <f>IF($A35="","",IFERROR(INDEX(Clinical_Entry!$AC$5:$AC$104,MATCH($A35,Clinical_Entry!$A$5:$A$104,0)),""))</f>
        <v/>
      </c>
      <c r="J35" s="6">
        <f>IF($A35="","",IFERROR(INDEX(Treatment_Entry!$K$5:$K$104,MATCH($A35,Treatment_Entry!$A$5:$A$104,0)),""))</f>
        <v/>
      </c>
      <c r="K35" s="7">
        <f>IF($A35="","",IFERROR(INDEX(Treatment_Entry!$AC$5:$AC$104,MATCH($A35,Treatment_Entry!$A$5:$A$104,0)),""))</f>
        <v/>
      </c>
      <c r="L35" s="6">
        <f>IF($A35="","",IFERROR(INDEX(Treatment_Entry!$AE$5:$AE$104,MATCH($A35,Treatment_Entry!$A$5:$A$104,0)),""))</f>
        <v/>
      </c>
      <c r="M35" s="8">
        <f>IF($A35="","",IF(AND($E35="Not done",OR($C35="High",$C35="Very High / Locally Advanced",LEFT($C35,2)="M1")),1,0))</f>
        <v/>
      </c>
      <c r="N35" s="8">
        <f>IF($A35="","",IF(AND($F35="Not done",OR($C35="High",$C35="Very High / Locally Advanced")),1,0))</f>
        <v/>
      </c>
      <c r="O35" s="8">
        <f>IF($A35="","",IF($G35="Not started",1,0))</f>
        <v/>
      </c>
      <c r="P35" s="8">
        <f>IF($A35="","",IF($H35="Not done",1,0))</f>
        <v/>
      </c>
      <c r="Q35" s="8">
        <f>IF($A35="","",IF($I35="Not done",1,0))</f>
        <v/>
      </c>
      <c r="R35" s="8">
        <f>IF($A35="","",IF(AND($D35="Hormone-sensitive (HSPC)",$C35="High",$J35="Not initiated"),1,0))</f>
        <v/>
      </c>
      <c r="S35" s="8">
        <f>IF($A35="","",IF($K35="",1,0))</f>
        <v/>
      </c>
      <c r="T35" s="8">
        <f>IF($A35="","",IF(OR($L35="",$L35="Not done"),1,0))</f>
        <v/>
      </c>
      <c r="U35" s="8">
        <f>IF($A35="","",SUM($M35:$O35))</f>
        <v/>
      </c>
      <c r="V35" s="8">
        <f>IF($A35="","",SUM($P35:$R35))</f>
        <v/>
      </c>
      <c r="W35" s="8">
        <f>IF($A35="","",SUM($S35:$T35))</f>
        <v/>
      </c>
      <c r="X35" s="8">
        <f>IF($A35="","",SUM($U35:$W35))</f>
        <v/>
      </c>
      <c r="Y35" s="6">
        <f>IF($A35="","",IF($U35&gt;0,"Urgent",IF($V35&gt;0,"Warning",IF($W35&gt;0,"Info","Closed"))))</f>
        <v/>
      </c>
      <c r="Z35" s="6">
        <f>IF($A35="","",IF($M35=1,"Complete bone scan / SPECT",IF($N35=1,"Complete PSMA PET-CT",IF($O35=1,"Start bone protection plan",IF($P35=1,"Order DEXA",IF($Q35=1,"Order genomics",IF($R35=1,"Review ARSI intensification",IF($S35=1,"Schedule follow-up PSA",IF($T35=1,"Document psychosocial screening","No open gap")))))))))</f>
        <v/>
      </c>
      <c r="AA35" s="6">
        <f>IF($A35="","",IF($X35=0,"No open care gaps",$Y35&amp;" priority · "&amp;$Z35))</f>
        <v/>
      </c>
    </row>
    <row r="36">
      <c r="A36" s="6">
        <f>IF(Demographics_Entry!$A36="","",Demographics_Entry!$A36)</f>
        <v/>
      </c>
      <c r="B36" s="6">
        <f>IF($A36="","",IFERROR(INDEX(Demographics_Entry!$E$5:$E$104,MATCH($A36,Demographics_Entry!$A$5:$A$104,0)),""))</f>
        <v/>
      </c>
      <c r="C36" s="6">
        <f>IF($A36="","",IFERROR(INDEX(Clinical_Entry!$U$5:$U$104,MATCH($A36,Clinical_Entry!$A$5:$A$104,0)),""))</f>
        <v/>
      </c>
      <c r="D36" s="6">
        <f>IF($A36="","",IFERROR(INDEX(Clinical_Entry!$W$5:$W$104,MATCH($A36,Clinical_Entry!$A$5:$A$104,0)),""))</f>
        <v/>
      </c>
      <c r="E36" s="6">
        <f>IF($A36="","",IFERROR(INDEX(Clinical_Entry!$Y$5:$Y$104,MATCH($A36,Clinical_Entry!$A$5:$A$104,0)),""))</f>
        <v/>
      </c>
      <c r="F36" s="6">
        <f>IF($A36="","",IFERROR(INDEX(Clinical_Entry!$Z$5:$Z$104,MATCH($A36,Clinical_Entry!$A$5:$A$104,0)),""))</f>
        <v/>
      </c>
      <c r="G36" s="6">
        <f>IF($A36="","",IFERROR(INDEX(Treatment_Entry!$AA$5:$AA$104,MATCH($A36,Treatment_Entry!$A$5:$A$104,0)),""))</f>
        <v/>
      </c>
      <c r="H36" s="6">
        <f>IF($A36="","",IFERROR(INDEX(Clinical_Entry!$AB$5:$AB$104,MATCH($A36,Clinical_Entry!$A$5:$A$104,0)),""))</f>
        <v/>
      </c>
      <c r="I36" s="6">
        <f>IF($A36="","",IFERROR(INDEX(Clinical_Entry!$AC$5:$AC$104,MATCH($A36,Clinical_Entry!$A$5:$A$104,0)),""))</f>
        <v/>
      </c>
      <c r="J36" s="6">
        <f>IF($A36="","",IFERROR(INDEX(Treatment_Entry!$K$5:$K$104,MATCH($A36,Treatment_Entry!$A$5:$A$104,0)),""))</f>
        <v/>
      </c>
      <c r="K36" s="7">
        <f>IF($A36="","",IFERROR(INDEX(Treatment_Entry!$AC$5:$AC$104,MATCH($A36,Treatment_Entry!$A$5:$A$104,0)),""))</f>
        <v/>
      </c>
      <c r="L36" s="6">
        <f>IF($A36="","",IFERROR(INDEX(Treatment_Entry!$AE$5:$AE$104,MATCH($A36,Treatment_Entry!$A$5:$A$104,0)),""))</f>
        <v/>
      </c>
      <c r="M36" s="8">
        <f>IF($A36="","",IF(AND($E36="Not done",OR($C36="High",$C36="Very High / Locally Advanced",LEFT($C36,2)="M1")),1,0))</f>
        <v/>
      </c>
      <c r="N36" s="8">
        <f>IF($A36="","",IF(AND($F36="Not done",OR($C36="High",$C36="Very High / Locally Advanced")),1,0))</f>
        <v/>
      </c>
      <c r="O36" s="8">
        <f>IF($A36="","",IF($G36="Not started",1,0))</f>
        <v/>
      </c>
      <c r="P36" s="8">
        <f>IF($A36="","",IF($H36="Not done",1,0))</f>
        <v/>
      </c>
      <c r="Q36" s="8">
        <f>IF($A36="","",IF($I36="Not done",1,0))</f>
        <v/>
      </c>
      <c r="R36" s="8">
        <f>IF($A36="","",IF(AND($D36="Hormone-sensitive (HSPC)",$C36="High",$J36="Not initiated"),1,0))</f>
        <v/>
      </c>
      <c r="S36" s="8">
        <f>IF($A36="","",IF($K36="",1,0))</f>
        <v/>
      </c>
      <c r="T36" s="8">
        <f>IF($A36="","",IF(OR($L36="",$L36="Not done"),1,0))</f>
        <v/>
      </c>
      <c r="U36" s="8">
        <f>IF($A36="","",SUM($M36:$O36))</f>
        <v/>
      </c>
      <c r="V36" s="8">
        <f>IF($A36="","",SUM($P36:$R36))</f>
        <v/>
      </c>
      <c r="W36" s="8">
        <f>IF($A36="","",SUM($S36:$T36))</f>
        <v/>
      </c>
      <c r="X36" s="8">
        <f>IF($A36="","",SUM($U36:$W36))</f>
        <v/>
      </c>
      <c r="Y36" s="6">
        <f>IF($A36="","",IF($U36&gt;0,"Urgent",IF($V36&gt;0,"Warning",IF($W36&gt;0,"Info","Closed"))))</f>
        <v/>
      </c>
      <c r="Z36" s="6">
        <f>IF($A36="","",IF($M36=1,"Complete bone scan / SPECT",IF($N36=1,"Complete PSMA PET-CT",IF($O36=1,"Start bone protection plan",IF($P36=1,"Order DEXA",IF($Q36=1,"Order genomics",IF($R36=1,"Review ARSI intensification",IF($S36=1,"Schedule follow-up PSA",IF($T36=1,"Document psychosocial screening","No open gap")))))))))</f>
        <v/>
      </c>
      <c r="AA36" s="6">
        <f>IF($A36="","",IF($X36=0,"No open care gaps",$Y36&amp;" priority · "&amp;$Z36))</f>
        <v/>
      </c>
    </row>
    <row r="37">
      <c r="A37" s="6">
        <f>IF(Demographics_Entry!$A37="","",Demographics_Entry!$A37)</f>
        <v/>
      </c>
      <c r="B37" s="6">
        <f>IF($A37="","",IFERROR(INDEX(Demographics_Entry!$E$5:$E$104,MATCH($A37,Demographics_Entry!$A$5:$A$104,0)),""))</f>
        <v/>
      </c>
      <c r="C37" s="6">
        <f>IF($A37="","",IFERROR(INDEX(Clinical_Entry!$U$5:$U$104,MATCH($A37,Clinical_Entry!$A$5:$A$104,0)),""))</f>
        <v/>
      </c>
      <c r="D37" s="6">
        <f>IF($A37="","",IFERROR(INDEX(Clinical_Entry!$W$5:$W$104,MATCH($A37,Clinical_Entry!$A$5:$A$104,0)),""))</f>
        <v/>
      </c>
      <c r="E37" s="6">
        <f>IF($A37="","",IFERROR(INDEX(Clinical_Entry!$Y$5:$Y$104,MATCH($A37,Clinical_Entry!$A$5:$A$104,0)),""))</f>
        <v/>
      </c>
      <c r="F37" s="6">
        <f>IF($A37="","",IFERROR(INDEX(Clinical_Entry!$Z$5:$Z$104,MATCH($A37,Clinical_Entry!$A$5:$A$104,0)),""))</f>
        <v/>
      </c>
      <c r="G37" s="6">
        <f>IF($A37="","",IFERROR(INDEX(Treatment_Entry!$AA$5:$AA$104,MATCH($A37,Treatment_Entry!$A$5:$A$104,0)),""))</f>
        <v/>
      </c>
      <c r="H37" s="6">
        <f>IF($A37="","",IFERROR(INDEX(Clinical_Entry!$AB$5:$AB$104,MATCH($A37,Clinical_Entry!$A$5:$A$104,0)),""))</f>
        <v/>
      </c>
      <c r="I37" s="6">
        <f>IF($A37="","",IFERROR(INDEX(Clinical_Entry!$AC$5:$AC$104,MATCH($A37,Clinical_Entry!$A$5:$A$104,0)),""))</f>
        <v/>
      </c>
      <c r="J37" s="6">
        <f>IF($A37="","",IFERROR(INDEX(Treatment_Entry!$K$5:$K$104,MATCH($A37,Treatment_Entry!$A$5:$A$104,0)),""))</f>
        <v/>
      </c>
      <c r="K37" s="7">
        <f>IF($A37="","",IFERROR(INDEX(Treatment_Entry!$AC$5:$AC$104,MATCH($A37,Treatment_Entry!$A$5:$A$104,0)),""))</f>
        <v/>
      </c>
      <c r="L37" s="6">
        <f>IF($A37="","",IFERROR(INDEX(Treatment_Entry!$AE$5:$AE$104,MATCH($A37,Treatment_Entry!$A$5:$A$104,0)),""))</f>
        <v/>
      </c>
      <c r="M37" s="8">
        <f>IF($A37="","",IF(AND($E37="Not done",OR($C37="High",$C37="Very High / Locally Advanced",LEFT($C37,2)="M1")),1,0))</f>
        <v/>
      </c>
      <c r="N37" s="8">
        <f>IF($A37="","",IF(AND($F37="Not done",OR($C37="High",$C37="Very High / Locally Advanced")),1,0))</f>
        <v/>
      </c>
      <c r="O37" s="8">
        <f>IF($A37="","",IF($G37="Not started",1,0))</f>
        <v/>
      </c>
      <c r="P37" s="8">
        <f>IF($A37="","",IF($H37="Not done",1,0))</f>
        <v/>
      </c>
      <c r="Q37" s="8">
        <f>IF($A37="","",IF($I37="Not done",1,0))</f>
        <v/>
      </c>
      <c r="R37" s="8">
        <f>IF($A37="","",IF(AND($D37="Hormone-sensitive (HSPC)",$C37="High",$J37="Not initiated"),1,0))</f>
        <v/>
      </c>
      <c r="S37" s="8">
        <f>IF($A37="","",IF($K37="",1,0))</f>
        <v/>
      </c>
      <c r="T37" s="8">
        <f>IF($A37="","",IF(OR($L37="",$L37="Not done"),1,0))</f>
        <v/>
      </c>
      <c r="U37" s="8">
        <f>IF($A37="","",SUM($M37:$O37))</f>
        <v/>
      </c>
      <c r="V37" s="8">
        <f>IF($A37="","",SUM($P37:$R37))</f>
        <v/>
      </c>
      <c r="W37" s="8">
        <f>IF($A37="","",SUM($S37:$T37))</f>
        <v/>
      </c>
      <c r="X37" s="8">
        <f>IF($A37="","",SUM($U37:$W37))</f>
        <v/>
      </c>
      <c r="Y37" s="6">
        <f>IF($A37="","",IF($U37&gt;0,"Urgent",IF($V37&gt;0,"Warning",IF($W37&gt;0,"Info","Closed"))))</f>
        <v/>
      </c>
      <c r="Z37" s="6">
        <f>IF($A37="","",IF($M37=1,"Complete bone scan / SPECT",IF($N37=1,"Complete PSMA PET-CT",IF($O37=1,"Start bone protection plan",IF($P37=1,"Order DEXA",IF($Q37=1,"Order genomics",IF($R37=1,"Review ARSI intensification",IF($S37=1,"Schedule follow-up PSA",IF($T37=1,"Document psychosocial screening","No open gap")))))))))</f>
        <v/>
      </c>
      <c r="AA37" s="6">
        <f>IF($A37="","",IF($X37=0,"No open care gaps",$Y37&amp;" priority · "&amp;$Z37))</f>
        <v/>
      </c>
    </row>
    <row r="38">
      <c r="A38" s="6">
        <f>IF(Demographics_Entry!$A38="","",Demographics_Entry!$A38)</f>
        <v/>
      </c>
      <c r="B38" s="6">
        <f>IF($A38="","",IFERROR(INDEX(Demographics_Entry!$E$5:$E$104,MATCH($A38,Demographics_Entry!$A$5:$A$104,0)),""))</f>
        <v/>
      </c>
      <c r="C38" s="6">
        <f>IF($A38="","",IFERROR(INDEX(Clinical_Entry!$U$5:$U$104,MATCH($A38,Clinical_Entry!$A$5:$A$104,0)),""))</f>
        <v/>
      </c>
      <c r="D38" s="6">
        <f>IF($A38="","",IFERROR(INDEX(Clinical_Entry!$W$5:$W$104,MATCH($A38,Clinical_Entry!$A$5:$A$104,0)),""))</f>
        <v/>
      </c>
      <c r="E38" s="6">
        <f>IF($A38="","",IFERROR(INDEX(Clinical_Entry!$Y$5:$Y$104,MATCH($A38,Clinical_Entry!$A$5:$A$104,0)),""))</f>
        <v/>
      </c>
      <c r="F38" s="6">
        <f>IF($A38="","",IFERROR(INDEX(Clinical_Entry!$Z$5:$Z$104,MATCH($A38,Clinical_Entry!$A$5:$A$104,0)),""))</f>
        <v/>
      </c>
      <c r="G38" s="6">
        <f>IF($A38="","",IFERROR(INDEX(Treatment_Entry!$AA$5:$AA$104,MATCH($A38,Treatment_Entry!$A$5:$A$104,0)),""))</f>
        <v/>
      </c>
      <c r="H38" s="6">
        <f>IF($A38="","",IFERROR(INDEX(Clinical_Entry!$AB$5:$AB$104,MATCH($A38,Clinical_Entry!$A$5:$A$104,0)),""))</f>
        <v/>
      </c>
      <c r="I38" s="6">
        <f>IF($A38="","",IFERROR(INDEX(Clinical_Entry!$AC$5:$AC$104,MATCH($A38,Clinical_Entry!$A$5:$A$104,0)),""))</f>
        <v/>
      </c>
      <c r="J38" s="6">
        <f>IF($A38="","",IFERROR(INDEX(Treatment_Entry!$K$5:$K$104,MATCH($A38,Treatment_Entry!$A$5:$A$104,0)),""))</f>
        <v/>
      </c>
      <c r="K38" s="7">
        <f>IF($A38="","",IFERROR(INDEX(Treatment_Entry!$AC$5:$AC$104,MATCH($A38,Treatment_Entry!$A$5:$A$104,0)),""))</f>
        <v/>
      </c>
      <c r="L38" s="6">
        <f>IF($A38="","",IFERROR(INDEX(Treatment_Entry!$AE$5:$AE$104,MATCH($A38,Treatment_Entry!$A$5:$A$104,0)),""))</f>
        <v/>
      </c>
      <c r="M38" s="8">
        <f>IF($A38="","",IF(AND($E38="Not done",OR($C38="High",$C38="Very High / Locally Advanced",LEFT($C38,2)="M1")),1,0))</f>
        <v/>
      </c>
      <c r="N38" s="8">
        <f>IF($A38="","",IF(AND($F38="Not done",OR($C38="High",$C38="Very High / Locally Advanced")),1,0))</f>
        <v/>
      </c>
      <c r="O38" s="8">
        <f>IF($A38="","",IF($G38="Not started",1,0))</f>
        <v/>
      </c>
      <c r="P38" s="8">
        <f>IF($A38="","",IF($H38="Not done",1,0))</f>
        <v/>
      </c>
      <c r="Q38" s="8">
        <f>IF($A38="","",IF($I38="Not done",1,0))</f>
        <v/>
      </c>
      <c r="R38" s="8">
        <f>IF($A38="","",IF(AND($D38="Hormone-sensitive (HSPC)",$C38="High",$J38="Not initiated"),1,0))</f>
        <v/>
      </c>
      <c r="S38" s="8">
        <f>IF($A38="","",IF($K38="",1,0))</f>
        <v/>
      </c>
      <c r="T38" s="8">
        <f>IF($A38="","",IF(OR($L38="",$L38="Not done"),1,0))</f>
        <v/>
      </c>
      <c r="U38" s="8">
        <f>IF($A38="","",SUM($M38:$O38))</f>
        <v/>
      </c>
      <c r="V38" s="8">
        <f>IF($A38="","",SUM($P38:$R38))</f>
        <v/>
      </c>
      <c r="W38" s="8">
        <f>IF($A38="","",SUM($S38:$T38))</f>
        <v/>
      </c>
      <c r="X38" s="8">
        <f>IF($A38="","",SUM($U38:$W38))</f>
        <v/>
      </c>
      <c r="Y38" s="6">
        <f>IF($A38="","",IF($U38&gt;0,"Urgent",IF($V38&gt;0,"Warning",IF($W38&gt;0,"Info","Closed"))))</f>
        <v/>
      </c>
      <c r="Z38" s="6">
        <f>IF($A38="","",IF($M38=1,"Complete bone scan / SPECT",IF($N38=1,"Complete PSMA PET-CT",IF($O38=1,"Start bone protection plan",IF($P38=1,"Order DEXA",IF($Q38=1,"Order genomics",IF($R38=1,"Review ARSI intensification",IF($S38=1,"Schedule follow-up PSA",IF($T38=1,"Document psychosocial screening","No open gap")))))))))</f>
        <v/>
      </c>
      <c r="AA38" s="6">
        <f>IF($A38="","",IF($X38=0,"No open care gaps",$Y38&amp;" priority · "&amp;$Z38))</f>
        <v/>
      </c>
    </row>
    <row r="39">
      <c r="A39" s="6">
        <f>IF(Demographics_Entry!$A39="","",Demographics_Entry!$A39)</f>
        <v/>
      </c>
      <c r="B39" s="6">
        <f>IF($A39="","",IFERROR(INDEX(Demographics_Entry!$E$5:$E$104,MATCH($A39,Demographics_Entry!$A$5:$A$104,0)),""))</f>
        <v/>
      </c>
      <c r="C39" s="6">
        <f>IF($A39="","",IFERROR(INDEX(Clinical_Entry!$U$5:$U$104,MATCH($A39,Clinical_Entry!$A$5:$A$104,0)),""))</f>
        <v/>
      </c>
      <c r="D39" s="6">
        <f>IF($A39="","",IFERROR(INDEX(Clinical_Entry!$W$5:$W$104,MATCH($A39,Clinical_Entry!$A$5:$A$104,0)),""))</f>
        <v/>
      </c>
      <c r="E39" s="6">
        <f>IF($A39="","",IFERROR(INDEX(Clinical_Entry!$Y$5:$Y$104,MATCH($A39,Clinical_Entry!$A$5:$A$104,0)),""))</f>
        <v/>
      </c>
      <c r="F39" s="6">
        <f>IF($A39="","",IFERROR(INDEX(Clinical_Entry!$Z$5:$Z$104,MATCH($A39,Clinical_Entry!$A$5:$A$104,0)),""))</f>
        <v/>
      </c>
      <c r="G39" s="6">
        <f>IF($A39="","",IFERROR(INDEX(Treatment_Entry!$AA$5:$AA$104,MATCH($A39,Treatment_Entry!$A$5:$A$104,0)),""))</f>
        <v/>
      </c>
      <c r="H39" s="6">
        <f>IF($A39="","",IFERROR(INDEX(Clinical_Entry!$AB$5:$AB$104,MATCH($A39,Clinical_Entry!$A$5:$A$104,0)),""))</f>
        <v/>
      </c>
      <c r="I39" s="6">
        <f>IF($A39="","",IFERROR(INDEX(Clinical_Entry!$AC$5:$AC$104,MATCH($A39,Clinical_Entry!$A$5:$A$104,0)),""))</f>
        <v/>
      </c>
      <c r="J39" s="6">
        <f>IF($A39="","",IFERROR(INDEX(Treatment_Entry!$K$5:$K$104,MATCH($A39,Treatment_Entry!$A$5:$A$104,0)),""))</f>
        <v/>
      </c>
      <c r="K39" s="7">
        <f>IF($A39="","",IFERROR(INDEX(Treatment_Entry!$AC$5:$AC$104,MATCH($A39,Treatment_Entry!$A$5:$A$104,0)),""))</f>
        <v/>
      </c>
      <c r="L39" s="6">
        <f>IF($A39="","",IFERROR(INDEX(Treatment_Entry!$AE$5:$AE$104,MATCH($A39,Treatment_Entry!$A$5:$A$104,0)),""))</f>
        <v/>
      </c>
      <c r="M39" s="8">
        <f>IF($A39="","",IF(AND($E39="Not done",OR($C39="High",$C39="Very High / Locally Advanced",LEFT($C39,2)="M1")),1,0))</f>
        <v/>
      </c>
      <c r="N39" s="8">
        <f>IF($A39="","",IF(AND($F39="Not done",OR($C39="High",$C39="Very High / Locally Advanced")),1,0))</f>
        <v/>
      </c>
      <c r="O39" s="8">
        <f>IF($A39="","",IF($G39="Not started",1,0))</f>
        <v/>
      </c>
      <c r="P39" s="8">
        <f>IF($A39="","",IF($H39="Not done",1,0))</f>
        <v/>
      </c>
      <c r="Q39" s="8">
        <f>IF($A39="","",IF($I39="Not done",1,0))</f>
        <v/>
      </c>
      <c r="R39" s="8">
        <f>IF($A39="","",IF(AND($D39="Hormone-sensitive (HSPC)",$C39="High",$J39="Not initiated"),1,0))</f>
        <v/>
      </c>
      <c r="S39" s="8">
        <f>IF($A39="","",IF($K39="",1,0))</f>
        <v/>
      </c>
      <c r="T39" s="8">
        <f>IF($A39="","",IF(OR($L39="",$L39="Not done"),1,0))</f>
        <v/>
      </c>
      <c r="U39" s="8">
        <f>IF($A39="","",SUM($M39:$O39))</f>
        <v/>
      </c>
      <c r="V39" s="8">
        <f>IF($A39="","",SUM($P39:$R39))</f>
        <v/>
      </c>
      <c r="W39" s="8">
        <f>IF($A39="","",SUM($S39:$T39))</f>
        <v/>
      </c>
      <c r="X39" s="8">
        <f>IF($A39="","",SUM($U39:$W39))</f>
        <v/>
      </c>
      <c r="Y39" s="6">
        <f>IF($A39="","",IF($U39&gt;0,"Urgent",IF($V39&gt;0,"Warning",IF($W39&gt;0,"Info","Closed"))))</f>
        <v/>
      </c>
      <c r="Z39" s="6">
        <f>IF($A39="","",IF($M39=1,"Complete bone scan / SPECT",IF($N39=1,"Complete PSMA PET-CT",IF($O39=1,"Start bone protection plan",IF($P39=1,"Order DEXA",IF($Q39=1,"Order genomics",IF($R39=1,"Review ARSI intensification",IF($S39=1,"Schedule follow-up PSA",IF($T39=1,"Document psychosocial screening","No open gap")))))))))</f>
        <v/>
      </c>
      <c r="AA39" s="6">
        <f>IF($A39="","",IF($X39=0,"No open care gaps",$Y39&amp;" priority · "&amp;$Z39))</f>
        <v/>
      </c>
    </row>
    <row r="40">
      <c r="A40" s="6">
        <f>IF(Demographics_Entry!$A40="","",Demographics_Entry!$A40)</f>
        <v/>
      </c>
      <c r="B40" s="6">
        <f>IF($A40="","",IFERROR(INDEX(Demographics_Entry!$E$5:$E$104,MATCH($A40,Demographics_Entry!$A$5:$A$104,0)),""))</f>
        <v/>
      </c>
      <c r="C40" s="6">
        <f>IF($A40="","",IFERROR(INDEX(Clinical_Entry!$U$5:$U$104,MATCH($A40,Clinical_Entry!$A$5:$A$104,0)),""))</f>
        <v/>
      </c>
      <c r="D40" s="6">
        <f>IF($A40="","",IFERROR(INDEX(Clinical_Entry!$W$5:$W$104,MATCH($A40,Clinical_Entry!$A$5:$A$104,0)),""))</f>
        <v/>
      </c>
      <c r="E40" s="6">
        <f>IF($A40="","",IFERROR(INDEX(Clinical_Entry!$Y$5:$Y$104,MATCH($A40,Clinical_Entry!$A$5:$A$104,0)),""))</f>
        <v/>
      </c>
      <c r="F40" s="6">
        <f>IF($A40="","",IFERROR(INDEX(Clinical_Entry!$Z$5:$Z$104,MATCH($A40,Clinical_Entry!$A$5:$A$104,0)),""))</f>
        <v/>
      </c>
      <c r="G40" s="6">
        <f>IF($A40="","",IFERROR(INDEX(Treatment_Entry!$AA$5:$AA$104,MATCH($A40,Treatment_Entry!$A$5:$A$104,0)),""))</f>
        <v/>
      </c>
      <c r="H40" s="6">
        <f>IF($A40="","",IFERROR(INDEX(Clinical_Entry!$AB$5:$AB$104,MATCH($A40,Clinical_Entry!$A$5:$A$104,0)),""))</f>
        <v/>
      </c>
      <c r="I40" s="6">
        <f>IF($A40="","",IFERROR(INDEX(Clinical_Entry!$AC$5:$AC$104,MATCH($A40,Clinical_Entry!$A$5:$A$104,0)),""))</f>
        <v/>
      </c>
      <c r="J40" s="6">
        <f>IF($A40="","",IFERROR(INDEX(Treatment_Entry!$K$5:$K$104,MATCH($A40,Treatment_Entry!$A$5:$A$104,0)),""))</f>
        <v/>
      </c>
      <c r="K40" s="7">
        <f>IF($A40="","",IFERROR(INDEX(Treatment_Entry!$AC$5:$AC$104,MATCH($A40,Treatment_Entry!$A$5:$A$104,0)),""))</f>
        <v/>
      </c>
      <c r="L40" s="6">
        <f>IF($A40="","",IFERROR(INDEX(Treatment_Entry!$AE$5:$AE$104,MATCH($A40,Treatment_Entry!$A$5:$A$104,0)),""))</f>
        <v/>
      </c>
      <c r="M40" s="8">
        <f>IF($A40="","",IF(AND($E40="Not done",OR($C40="High",$C40="Very High / Locally Advanced",LEFT($C40,2)="M1")),1,0))</f>
        <v/>
      </c>
      <c r="N40" s="8">
        <f>IF($A40="","",IF(AND($F40="Not done",OR($C40="High",$C40="Very High / Locally Advanced")),1,0))</f>
        <v/>
      </c>
      <c r="O40" s="8">
        <f>IF($A40="","",IF($G40="Not started",1,0))</f>
        <v/>
      </c>
      <c r="P40" s="8">
        <f>IF($A40="","",IF($H40="Not done",1,0))</f>
        <v/>
      </c>
      <c r="Q40" s="8">
        <f>IF($A40="","",IF($I40="Not done",1,0))</f>
        <v/>
      </c>
      <c r="R40" s="8">
        <f>IF($A40="","",IF(AND($D40="Hormone-sensitive (HSPC)",$C40="High",$J40="Not initiated"),1,0))</f>
        <v/>
      </c>
      <c r="S40" s="8">
        <f>IF($A40="","",IF($K40="",1,0))</f>
        <v/>
      </c>
      <c r="T40" s="8">
        <f>IF($A40="","",IF(OR($L40="",$L40="Not done"),1,0))</f>
        <v/>
      </c>
      <c r="U40" s="8">
        <f>IF($A40="","",SUM($M40:$O40))</f>
        <v/>
      </c>
      <c r="V40" s="8">
        <f>IF($A40="","",SUM($P40:$R40))</f>
        <v/>
      </c>
      <c r="W40" s="8">
        <f>IF($A40="","",SUM($S40:$T40))</f>
        <v/>
      </c>
      <c r="X40" s="8">
        <f>IF($A40="","",SUM($U40:$W40))</f>
        <v/>
      </c>
      <c r="Y40" s="6">
        <f>IF($A40="","",IF($U40&gt;0,"Urgent",IF($V40&gt;0,"Warning",IF($W40&gt;0,"Info","Closed"))))</f>
        <v/>
      </c>
      <c r="Z40" s="6">
        <f>IF($A40="","",IF($M40=1,"Complete bone scan / SPECT",IF($N40=1,"Complete PSMA PET-CT",IF($O40=1,"Start bone protection plan",IF($P40=1,"Order DEXA",IF($Q40=1,"Order genomics",IF($R40=1,"Review ARSI intensification",IF($S40=1,"Schedule follow-up PSA",IF($T40=1,"Document psychosocial screening","No open gap")))))))))</f>
        <v/>
      </c>
      <c r="AA40" s="6">
        <f>IF($A40="","",IF($X40=0,"No open care gaps",$Y40&amp;" priority · "&amp;$Z40))</f>
        <v/>
      </c>
    </row>
    <row r="41">
      <c r="A41" s="6">
        <f>IF(Demographics_Entry!$A41="","",Demographics_Entry!$A41)</f>
        <v/>
      </c>
      <c r="B41" s="6">
        <f>IF($A41="","",IFERROR(INDEX(Demographics_Entry!$E$5:$E$104,MATCH($A41,Demographics_Entry!$A$5:$A$104,0)),""))</f>
        <v/>
      </c>
      <c r="C41" s="6">
        <f>IF($A41="","",IFERROR(INDEX(Clinical_Entry!$U$5:$U$104,MATCH($A41,Clinical_Entry!$A$5:$A$104,0)),""))</f>
        <v/>
      </c>
      <c r="D41" s="6">
        <f>IF($A41="","",IFERROR(INDEX(Clinical_Entry!$W$5:$W$104,MATCH($A41,Clinical_Entry!$A$5:$A$104,0)),""))</f>
        <v/>
      </c>
      <c r="E41" s="6">
        <f>IF($A41="","",IFERROR(INDEX(Clinical_Entry!$Y$5:$Y$104,MATCH($A41,Clinical_Entry!$A$5:$A$104,0)),""))</f>
        <v/>
      </c>
      <c r="F41" s="6">
        <f>IF($A41="","",IFERROR(INDEX(Clinical_Entry!$Z$5:$Z$104,MATCH($A41,Clinical_Entry!$A$5:$A$104,0)),""))</f>
        <v/>
      </c>
      <c r="G41" s="6">
        <f>IF($A41="","",IFERROR(INDEX(Treatment_Entry!$AA$5:$AA$104,MATCH($A41,Treatment_Entry!$A$5:$A$104,0)),""))</f>
        <v/>
      </c>
      <c r="H41" s="6">
        <f>IF($A41="","",IFERROR(INDEX(Clinical_Entry!$AB$5:$AB$104,MATCH($A41,Clinical_Entry!$A$5:$A$104,0)),""))</f>
        <v/>
      </c>
      <c r="I41" s="6">
        <f>IF($A41="","",IFERROR(INDEX(Clinical_Entry!$AC$5:$AC$104,MATCH($A41,Clinical_Entry!$A$5:$A$104,0)),""))</f>
        <v/>
      </c>
      <c r="J41" s="6">
        <f>IF($A41="","",IFERROR(INDEX(Treatment_Entry!$K$5:$K$104,MATCH($A41,Treatment_Entry!$A$5:$A$104,0)),""))</f>
        <v/>
      </c>
      <c r="K41" s="7">
        <f>IF($A41="","",IFERROR(INDEX(Treatment_Entry!$AC$5:$AC$104,MATCH($A41,Treatment_Entry!$A$5:$A$104,0)),""))</f>
        <v/>
      </c>
      <c r="L41" s="6">
        <f>IF($A41="","",IFERROR(INDEX(Treatment_Entry!$AE$5:$AE$104,MATCH($A41,Treatment_Entry!$A$5:$A$104,0)),""))</f>
        <v/>
      </c>
      <c r="M41" s="8">
        <f>IF($A41="","",IF(AND($E41="Not done",OR($C41="High",$C41="Very High / Locally Advanced",LEFT($C41,2)="M1")),1,0))</f>
        <v/>
      </c>
      <c r="N41" s="8">
        <f>IF($A41="","",IF(AND($F41="Not done",OR($C41="High",$C41="Very High / Locally Advanced")),1,0))</f>
        <v/>
      </c>
      <c r="O41" s="8">
        <f>IF($A41="","",IF($G41="Not started",1,0))</f>
        <v/>
      </c>
      <c r="P41" s="8">
        <f>IF($A41="","",IF($H41="Not done",1,0))</f>
        <v/>
      </c>
      <c r="Q41" s="8">
        <f>IF($A41="","",IF($I41="Not done",1,0))</f>
        <v/>
      </c>
      <c r="R41" s="8">
        <f>IF($A41="","",IF(AND($D41="Hormone-sensitive (HSPC)",$C41="High",$J41="Not initiated"),1,0))</f>
        <v/>
      </c>
      <c r="S41" s="8">
        <f>IF($A41="","",IF($K41="",1,0))</f>
        <v/>
      </c>
      <c r="T41" s="8">
        <f>IF($A41="","",IF(OR($L41="",$L41="Not done"),1,0))</f>
        <v/>
      </c>
      <c r="U41" s="8">
        <f>IF($A41="","",SUM($M41:$O41))</f>
        <v/>
      </c>
      <c r="V41" s="8">
        <f>IF($A41="","",SUM($P41:$R41))</f>
        <v/>
      </c>
      <c r="W41" s="8">
        <f>IF($A41="","",SUM($S41:$T41))</f>
        <v/>
      </c>
      <c r="X41" s="8">
        <f>IF($A41="","",SUM($U41:$W41))</f>
        <v/>
      </c>
      <c r="Y41" s="6">
        <f>IF($A41="","",IF($U41&gt;0,"Urgent",IF($V41&gt;0,"Warning",IF($W41&gt;0,"Info","Closed"))))</f>
        <v/>
      </c>
      <c r="Z41" s="6">
        <f>IF($A41="","",IF($M41=1,"Complete bone scan / SPECT",IF($N41=1,"Complete PSMA PET-CT",IF($O41=1,"Start bone protection plan",IF($P41=1,"Order DEXA",IF($Q41=1,"Order genomics",IF($R41=1,"Review ARSI intensification",IF($S41=1,"Schedule follow-up PSA",IF($T41=1,"Document psychosocial screening","No open gap")))))))))</f>
        <v/>
      </c>
      <c r="AA41" s="6">
        <f>IF($A41="","",IF($X41=0,"No open care gaps",$Y41&amp;" priority · "&amp;$Z41))</f>
        <v/>
      </c>
    </row>
    <row r="42">
      <c r="A42" s="6">
        <f>IF(Demographics_Entry!$A42="","",Demographics_Entry!$A42)</f>
        <v/>
      </c>
      <c r="B42" s="6">
        <f>IF($A42="","",IFERROR(INDEX(Demographics_Entry!$E$5:$E$104,MATCH($A42,Demographics_Entry!$A$5:$A$104,0)),""))</f>
        <v/>
      </c>
      <c r="C42" s="6">
        <f>IF($A42="","",IFERROR(INDEX(Clinical_Entry!$U$5:$U$104,MATCH($A42,Clinical_Entry!$A$5:$A$104,0)),""))</f>
        <v/>
      </c>
      <c r="D42" s="6">
        <f>IF($A42="","",IFERROR(INDEX(Clinical_Entry!$W$5:$W$104,MATCH($A42,Clinical_Entry!$A$5:$A$104,0)),""))</f>
        <v/>
      </c>
      <c r="E42" s="6">
        <f>IF($A42="","",IFERROR(INDEX(Clinical_Entry!$Y$5:$Y$104,MATCH($A42,Clinical_Entry!$A$5:$A$104,0)),""))</f>
        <v/>
      </c>
      <c r="F42" s="6">
        <f>IF($A42="","",IFERROR(INDEX(Clinical_Entry!$Z$5:$Z$104,MATCH($A42,Clinical_Entry!$A$5:$A$104,0)),""))</f>
        <v/>
      </c>
      <c r="G42" s="6">
        <f>IF($A42="","",IFERROR(INDEX(Treatment_Entry!$AA$5:$AA$104,MATCH($A42,Treatment_Entry!$A$5:$A$104,0)),""))</f>
        <v/>
      </c>
      <c r="H42" s="6">
        <f>IF($A42="","",IFERROR(INDEX(Clinical_Entry!$AB$5:$AB$104,MATCH($A42,Clinical_Entry!$A$5:$A$104,0)),""))</f>
        <v/>
      </c>
      <c r="I42" s="6">
        <f>IF($A42="","",IFERROR(INDEX(Clinical_Entry!$AC$5:$AC$104,MATCH($A42,Clinical_Entry!$A$5:$A$104,0)),""))</f>
        <v/>
      </c>
      <c r="J42" s="6">
        <f>IF($A42="","",IFERROR(INDEX(Treatment_Entry!$K$5:$K$104,MATCH($A42,Treatment_Entry!$A$5:$A$104,0)),""))</f>
        <v/>
      </c>
      <c r="K42" s="7">
        <f>IF($A42="","",IFERROR(INDEX(Treatment_Entry!$AC$5:$AC$104,MATCH($A42,Treatment_Entry!$A$5:$A$104,0)),""))</f>
        <v/>
      </c>
      <c r="L42" s="6">
        <f>IF($A42="","",IFERROR(INDEX(Treatment_Entry!$AE$5:$AE$104,MATCH($A42,Treatment_Entry!$A$5:$A$104,0)),""))</f>
        <v/>
      </c>
      <c r="M42" s="8">
        <f>IF($A42="","",IF(AND($E42="Not done",OR($C42="High",$C42="Very High / Locally Advanced",LEFT($C42,2)="M1")),1,0))</f>
        <v/>
      </c>
      <c r="N42" s="8">
        <f>IF($A42="","",IF(AND($F42="Not done",OR($C42="High",$C42="Very High / Locally Advanced")),1,0))</f>
        <v/>
      </c>
      <c r="O42" s="8">
        <f>IF($A42="","",IF($G42="Not started",1,0))</f>
        <v/>
      </c>
      <c r="P42" s="8">
        <f>IF($A42="","",IF($H42="Not done",1,0))</f>
        <v/>
      </c>
      <c r="Q42" s="8">
        <f>IF($A42="","",IF($I42="Not done",1,0))</f>
        <v/>
      </c>
      <c r="R42" s="8">
        <f>IF($A42="","",IF(AND($D42="Hormone-sensitive (HSPC)",$C42="High",$J42="Not initiated"),1,0))</f>
        <v/>
      </c>
      <c r="S42" s="8">
        <f>IF($A42="","",IF($K42="",1,0))</f>
        <v/>
      </c>
      <c r="T42" s="8">
        <f>IF($A42="","",IF(OR($L42="",$L42="Not done"),1,0))</f>
        <v/>
      </c>
      <c r="U42" s="8">
        <f>IF($A42="","",SUM($M42:$O42))</f>
        <v/>
      </c>
      <c r="V42" s="8">
        <f>IF($A42="","",SUM($P42:$R42))</f>
        <v/>
      </c>
      <c r="W42" s="8">
        <f>IF($A42="","",SUM($S42:$T42))</f>
        <v/>
      </c>
      <c r="X42" s="8">
        <f>IF($A42="","",SUM($U42:$W42))</f>
        <v/>
      </c>
      <c r="Y42" s="6">
        <f>IF($A42="","",IF($U42&gt;0,"Urgent",IF($V42&gt;0,"Warning",IF($W42&gt;0,"Info","Closed"))))</f>
        <v/>
      </c>
      <c r="Z42" s="6">
        <f>IF($A42="","",IF($M42=1,"Complete bone scan / SPECT",IF($N42=1,"Complete PSMA PET-CT",IF($O42=1,"Start bone protection plan",IF($P42=1,"Order DEXA",IF($Q42=1,"Order genomics",IF($R42=1,"Review ARSI intensification",IF($S42=1,"Schedule follow-up PSA",IF($T42=1,"Document psychosocial screening","No open gap")))))))))</f>
        <v/>
      </c>
      <c r="AA42" s="6">
        <f>IF($A42="","",IF($X42=0,"No open care gaps",$Y42&amp;" priority · "&amp;$Z42))</f>
        <v/>
      </c>
    </row>
    <row r="43">
      <c r="A43" s="6">
        <f>IF(Demographics_Entry!$A43="","",Demographics_Entry!$A43)</f>
        <v/>
      </c>
      <c r="B43" s="6">
        <f>IF($A43="","",IFERROR(INDEX(Demographics_Entry!$E$5:$E$104,MATCH($A43,Demographics_Entry!$A$5:$A$104,0)),""))</f>
        <v/>
      </c>
      <c r="C43" s="6">
        <f>IF($A43="","",IFERROR(INDEX(Clinical_Entry!$U$5:$U$104,MATCH($A43,Clinical_Entry!$A$5:$A$104,0)),""))</f>
        <v/>
      </c>
      <c r="D43" s="6">
        <f>IF($A43="","",IFERROR(INDEX(Clinical_Entry!$W$5:$W$104,MATCH($A43,Clinical_Entry!$A$5:$A$104,0)),""))</f>
        <v/>
      </c>
      <c r="E43" s="6">
        <f>IF($A43="","",IFERROR(INDEX(Clinical_Entry!$Y$5:$Y$104,MATCH($A43,Clinical_Entry!$A$5:$A$104,0)),""))</f>
        <v/>
      </c>
      <c r="F43" s="6">
        <f>IF($A43="","",IFERROR(INDEX(Clinical_Entry!$Z$5:$Z$104,MATCH($A43,Clinical_Entry!$A$5:$A$104,0)),""))</f>
        <v/>
      </c>
      <c r="G43" s="6">
        <f>IF($A43="","",IFERROR(INDEX(Treatment_Entry!$AA$5:$AA$104,MATCH($A43,Treatment_Entry!$A$5:$A$104,0)),""))</f>
        <v/>
      </c>
      <c r="H43" s="6">
        <f>IF($A43="","",IFERROR(INDEX(Clinical_Entry!$AB$5:$AB$104,MATCH($A43,Clinical_Entry!$A$5:$A$104,0)),""))</f>
        <v/>
      </c>
      <c r="I43" s="6">
        <f>IF($A43="","",IFERROR(INDEX(Clinical_Entry!$AC$5:$AC$104,MATCH($A43,Clinical_Entry!$A$5:$A$104,0)),""))</f>
        <v/>
      </c>
      <c r="J43" s="6">
        <f>IF($A43="","",IFERROR(INDEX(Treatment_Entry!$K$5:$K$104,MATCH($A43,Treatment_Entry!$A$5:$A$104,0)),""))</f>
        <v/>
      </c>
      <c r="K43" s="7">
        <f>IF($A43="","",IFERROR(INDEX(Treatment_Entry!$AC$5:$AC$104,MATCH($A43,Treatment_Entry!$A$5:$A$104,0)),""))</f>
        <v/>
      </c>
      <c r="L43" s="6">
        <f>IF($A43="","",IFERROR(INDEX(Treatment_Entry!$AE$5:$AE$104,MATCH($A43,Treatment_Entry!$A$5:$A$104,0)),""))</f>
        <v/>
      </c>
      <c r="M43" s="8">
        <f>IF($A43="","",IF(AND($E43="Not done",OR($C43="High",$C43="Very High / Locally Advanced",LEFT($C43,2)="M1")),1,0))</f>
        <v/>
      </c>
      <c r="N43" s="8">
        <f>IF($A43="","",IF(AND($F43="Not done",OR($C43="High",$C43="Very High / Locally Advanced")),1,0))</f>
        <v/>
      </c>
      <c r="O43" s="8">
        <f>IF($A43="","",IF($G43="Not started",1,0))</f>
        <v/>
      </c>
      <c r="P43" s="8">
        <f>IF($A43="","",IF($H43="Not done",1,0))</f>
        <v/>
      </c>
      <c r="Q43" s="8">
        <f>IF($A43="","",IF($I43="Not done",1,0))</f>
        <v/>
      </c>
      <c r="R43" s="8">
        <f>IF($A43="","",IF(AND($D43="Hormone-sensitive (HSPC)",$C43="High",$J43="Not initiated"),1,0))</f>
        <v/>
      </c>
      <c r="S43" s="8">
        <f>IF($A43="","",IF($K43="",1,0))</f>
        <v/>
      </c>
      <c r="T43" s="8">
        <f>IF($A43="","",IF(OR($L43="",$L43="Not done"),1,0))</f>
        <v/>
      </c>
      <c r="U43" s="8">
        <f>IF($A43="","",SUM($M43:$O43))</f>
        <v/>
      </c>
      <c r="V43" s="8">
        <f>IF($A43="","",SUM($P43:$R43))</f>
        <v/>
      </c>
      <c r="W43" s="8">
        <f>IF($A43="","",SUM($S43:$T43))</f>
        <v/>
      </c>
      <c r="X43" s="8">
        <f>IF($A43="","",SUM($U43:$W43))</f>
        <v/>
      </c>
      <c r="Y43" s="6">
        <f>IF($A43="","",IF($U43&gt;0,"Urgent",IF($V43&gt;0,"Warning",IF($W43&gt;0,"Info","Closed"))))</f>
        <v/>
      </c>
      <c r="Z43" s="6">
        <f>IF($A43="","",IF($M43=1,"Complete bone scan / SPECT",IF($N43=1,"Complete PSMA PET-CT",IF($O43=1,"Start bone protection plan",IF($P43=1,"Order DEXA",IF($Q43=1,"Order genomics",IF($R43=1,"Review ARSI intensification",IF($S43=1,"Schedule follow-up PSA",IF($T43=1,"Document psychosocial screening","No open gap")))))))))</f>
        <v/>
      </c>
      <c r="AA43" s="6">
        <f>IF($A43="","",IF($X43=0,"No open care gaps",$Y43&amp;" priority · "&amp;$Z43))</f>
        <v/>
      </c>
    </row>
    <row r="44">
      <c r="A44" s="6">
        <f>IF(Demographics_Entry!$A44="","",Demographics_Entry!$A44)</f>
        <v/>
      </c>
      <c r="B44" s="6">
        <f>IF($A44="","",IFERROR(INDEX(Demographics_Entry!$E$5:$E$104,MATCH($A44,Demographics_Entry!$A$5:$A$104,0)),""))</f>
        <v/>
      </c>
      <c r="C44" s="6">
        <f>IF($A44="","",IFERROR(INDEX(Clinical_Entry!$U$5:$U$104,MATCH($A44,Clinical_Entry!$A$5:$A$104,0)),""))</f>
        <v/>
      </c>
      <c r="D44" s="6">
        <f>IF($A44="","",IFERROR(INDEX(Clinical_Entry!$W$5:$W$104,MATCH($A44,Clinical_Entry!$A$5:$A$104,0)),""))</f>
        <v/>
      </c>
      <c r="E44" s="6">
        <f>IF($A44="","",IFERROR(INDEX(Clinical_Entry!$Y$5:$Y$104,MATCH($A44,Clinical_Entry!$A$5:$A$104,0)),""))</f>
        <v/>
      </c>
      <c r="F44" s="6">
        <f>IF($A44="","",IFERROR(INDEX(Clinical_Entry!$Z$5:$Z$104,MATCH($A44,Clinical_Entry!$A$5:$A$104,0)),""))</f>
        <v/>
      </c>
      <c r="G44" s="6">
        <f>IF($A44="","",IFERROR(INDEX(Treatment_Entry!$AA$5:$AA$104,MATCH($A44,Treatment_Entry!$A$5:$A$104,0)),""))</f>
        <v/>
      </c>
      <c r="H44" s="6">
        <f>IF($A44="","",IFERROR(INDEX(Clinical_Entry!$AB$5:$AB$104,MATCH($A44,Clinical_Entry!$A$5:$A$104,0)),""))</f>
        <v/>
      </c>
      <c r="I44" s="6">
        <f>IF($A44="","",IFERROR(INDEX(Clinical_Entry!$AC$5:$AC$104,MATCH($A44,Clinical_Entry!$A$5:$A$104,0)),""))</f>
        <v/>
      </c>
      <c r="J44" s="6">
        <f>IF($A44="","",IFERROR(INDEX(Treatment_Entry!$K$5:$K$104,MATCH($A44,Treatment_Entry!$A$5:$A$104,0)),""))</f>
        <v/>
      </c>
      <c r="K44" s="7">
        <f>IF($A44="","",IFERROR(INDEX(Treatment_Entry!$AC$5:$AC$104,MATCH($A44,Treatment_Entry!$A$5:$A$104,0)),""))</f>
        <v/>
      </c>
      <c r="L44" s="6">
        <f>IF($A44="","",IFERROR(INDEX(Treatment_Entry!$AE$5:$AE$104,MATCH($A44,Treatment_Entry!$A$5:$A$104,0)),""))</f>
        <v/>
      </c>
      <c r="M44" s="8">
        <f>IF($A44="","",IF(AND($E44="Not done",OR($C44="High",$C44="Very High / Locally Advanced",LEFT($C44,2)="M1")),1,0))</f>
        <v/>
      </c>
      <c r="N44" s="8">
        <f>IF($A44="","",IF(AND($F44="Not done",OR($C44="High",$C44="Very High / Locally Advanced")),1,0))</f>
        <v/>
      </c>
      <c r="O44" s="8">
        <f>IF($A44="","",IF($G44="Not started",1,0))</f>
        <v/>
      </c>
      <c r="P44" s="8">
        <f>IF($A44="","",IF($H44="Not done",1,0))</f>
        <v/>
      </c>
      <c r="Q44" s="8">
        <f>IF($A44="","",IF($I44="Not done",1,0))</f>
        <v/>
      </c>
      <c r="R44" s="8">
        <f>IF($A44="","",IF(AND($D44="Hormone-sensitive (HSPC)",$C44="High",$J44="Not initiated"),1,0))</f>
        <v/>
      </c>
      <c r="S44" s="8">
        <f>IF($A44="","",IF($K44="",1,0))</f>
        <v/>
      </c>
      <c r="T44" s="8">
        <f>IF($A44="","",IF(OR($L44="",$L44="Not done"),1,0))</f>
        <v/>
      </c>
      <c r="U44" s="8">
        <f>IF($A44="","",SUM($M44:$O44))</f>
        <v/>
      </c>
      <c r="V44" s="8">
        <f>IF($A44="","",SUM($P44:$R44))</f>
        <v/>
      </c>
      <c r="W44" s="8">
        <f>IF($A44="","",SUM($S44:$T44))</f>
        <v/>
      </c>
      <c r="X44" s="8">
        <f>IF($A44="","",SUM($U44:$W44))</f>
        <v/>
      </c>
      <c r="Y44" s="6">
        <f>IF($A44="","",IF($U44&gt;0,"Urgent",IF($V44&gt;0,"Warning",IF($W44&gt;0,"Info","Closed"))))</f>
        <v/>
      </c>
      <c r="Z44" s="6">
        <f>IF($A44="","",IF($M44=1,"Complete bone scan / SPECT",IF($N44=1,"Complete PSMA PET-CT",IF($O44=1,"Start bone protection plan",IF($P44=1,"Order DEXA",IF($Q44=1,"Order genomics",IF($R44=1,"Review ARSI intensification",IF($S44=1,"Schedule follow-up PSA",IF($T44=1,"Document psychosocial screening","No open gap")))))))))</f>
        <v/>
      </c>
      <c r="AA44" s="6">
        <f>IF($A44="","",IF($X44=0,"No open care gaps",$Y44&amp;" priority · "&amp;$Z44))</f>
        <v/>
      </c>
    </row>
    <row r="45">
      <c r="A45" s="6">
        <f>IF(Demographics_Entry!$A45="","",Demographics_Entry!$A45)</f>
        <v/>
      </c>
      <c r="B45" s="6">
        <f>IF($A45="","",IFERROR(INDEX(Demographics_Entry!$E$5:$E$104,MATCH($A45,Demographics_Entry!$A$5:$A$104,0)),""))</f>
        <v/>
      </c>
      <c r="C45" s="6">
        <f>IF($A45="","",IFERROR(INDEX(Clinical_Entry!$U$5:$U$104,MATCH($A45,Clinical_Entry!$A$5:$A$104,0)),""))</f>
        <v/>
      </c>
      <c r="D45" s="6">
        <f>IF($A45="","",IFERROR(INDEX(Clinical_Entry!$W$5:$W$104,MATCH($A45,Clinical_Entry!$A$5:$A$104,0)),""))</f>
        <v/>
      </c>
      <c r="E45" s="6">
        <f>IF($A45="","",IFERROR(INDEX(Clinical_Entry!$Y$5:$Y$104,MATCH($A45,Clinical_Entry!$A$5:$A$104,0)),""))</f>
        <v/>
      </c>
      <c r="F45" s="6">
        <f>IF($A45="","",IFERROR(INDEX(Clinical_Entry!$Z$5:$Z$104,MATCH($A45,Clinical_Entry!$A$5:$A$104,0)),""))</f>
        <v/>
      </c>
      <c r="G45" s="6">
        <f>IF($A45="","",IFERROR(INDEX(Treatment_Entry!$AA$5:$AA$104,MATCH($A45,Treatment_Entry!$A$5:$A$104,0)),""))</f>
        <v/>
      </c>
      <c r="H45" s="6">
        <f>IF($A45="","",IFERROR(INDEX(Clinical_Entry!$AB$5:$AB$104,MATCH($A45,Clinical_Entry!$A$5:$A$104,0)),""))</f>
        <v/>
      </c>
      <c r="I45" s="6">
        <f>IF($A45="","",IFERROR(INDEX(Clinical_Entry!$AC$5:$AC$104,MATCH($A45,Clinical_Entry!$A$5:$A$104,0)),""))</f>
        <v/>
      </c>
      <c r="J45" s="6">
        <f>IF($A45="","",IFERROR(INDEX(Treatment_Entry!$K$5:$K$104,MATCH($A45,Treatment_Entry!$A$5:$A$104,0)),""))</f>
        <v/>
      </c>
      <c r="K45" s="7">
        <f>IF($A45="","",IFERROR(INDEX(Treatment_Entry!$AC$5:$AC$104,MATCH($A45,Treatment_Entry!$A$5:$A$104,0)),""))</f>
        <v/>
      </c>
      <c r="L45" s="6">
        <f>IF($A45="","",IFERROR(INDEX(Treatment_Entry!$AE$5:$AE$104,MATCH($A45,Treatment_Entry!$A$5:$A$104,0)),""))</f>
        <v/>
      </c>
      <c r="M45" s="8">
        <f>IF($A45="","",IF(AND($E45="Not done",OR($C45="High",$C45="Very High / Locally Advanced",LEFT($C45,2)="M1")),1,0))</f>
        <v/>
      </c>
      <c r="N45" s="8">
        <f>IF($A45="","",IF(AND($F45="Not done",OR($C45="High",$C45="Very High / Locally Advanced")),1,0))</f>
        <v/>
      </c>
      <c r="O45" s="8">
        <f>IF($A45="","",IF($G45="Not started",1,0))</f>
        <v/>
      </c>
      <c r="P45" s="8">
        <f>IF($A45="","",IF($H45="Not done",1,0))</f>
        <v/>
      </c>
      <c r="Q45" s="8">
        <f>IF($A45="","",IF($I45="Not done",1,0))</f>
        <v/>
      </c>
      <c r="R45" s="8">
        <f>IF($A45="","",IF(AND($D45="Hormone-sensitive (HSPC)",$C45="High",$J45="Not initiated"),1,0))</f>
        <v/>
      </c>
      <c r="S45" s="8">
        <f>IF($A45="","",IF($K45="",1,0))</f>
        <v/>
      </c>
      <c r="T45" s="8">
        <f>IF($A45="","",IF(OR($L45="",$L45="Not done"),1,0))</f>
        <v/>
      </c>
      <c r="U45" s="8">
        <f>IF($A45="","",SUM($M45:$O45))</f>
        <v/>
      </c>
      <c r="V45" s="8">
        <f>IF($A45="","",SUM($P45:$R45))</f>
        <v/>
      </c>
      <c r="W45" s="8">
        <f>IF($A45="","",SUM($S45:$T45))</f>
        <v/>
      </c>
      <c r="X45" s="8">
        <f>IF($A45="","",SUM($U45:$W45))</f>
        <v/>
      </c>
      <c r="Y45" s="6">
        <f>IF($A45="","",IF($U45&gt;0,"Urgent",IF($V45&gt;0,"Warning",IF($W45&gt;0,"Info","Closed"))))</f>
        <v/>
      </c>
      <c r="Z45" s="6">
        <f>IF($A45="","",IF($M45=1,"Complete bone scan / SPECT",IF($N45=1,"Complete PSMA PET-CT",IF($O45=1,"Start bone protection plan",IF($P45=1,"Order DEXA",IF($Q45=1,"Order genomics",IF($R45=1,"Review ARSI intensification",IF($S45=1,"Schedule follow-up PSA",IF($T45=1,"Document psychosocial screening","No open gap")))))))))</f>
        <v/>
      </c>
      <c r="AA45" s="6">
        <f>IF($A45="","",IF($X45=0,"No open care gaps",$Y45&amp;" priority · "&amp;$Z45))</f>
        <v/>
      </c>
    </row>
    <row r="46">
      <c r="A46" s="6">
        <f>IF(Demographics_Entry!$A46="","",Demographics_Entry!$A46)</f>
        <v/>
      </c>
      <c r="B46" s="6">
        <f>IF($A46="","",IFERROR(INDEX(Demographics_Entry!$E$5:$E$104,MATCH($A46,Demographics_Entry!$A$5:$A$104,0)),""))</f>
        <v/>
      </c>
      <c r="C46" s="6">
        <f>IF($A46="","",IFERROR(INDEX(Clinical_Entry!$U$5:$U$104,MATCH($A46,Clinical_Entry!$A$5:$A$104,0)),""))</f>
        <v/>
      </c>
      <c r="D46" s="6">
        <f>IF($A46="","",IFERROR(INDEX(Clinical_Entry!$W$5:$W$104,MATCH($A46,Clinical_Entry!$A$5:$A$104,0)),""))</f>
        <v/>
      </c>
      <c r="E46" s="6">
        <f>IF($A46="","",IFERROR(INDEX(Clinical_Entry!$Y$5:$Y$104,MATCH($A46,Clinical_Entry!$A$5:$A$104,0)),""))</f>
        <v/>
      </c>
      <c r="F46" s="6">
        <f>IF($A46="","",IFERROR(INDEX(Clinical_Entry!$Z$5:$Z$104,MATCH($A46,Clinical_Entry!$A$5:$A$104,0)),""))</f>
        <v/>
      </c>
      <c r="G46" s="6">
        <f>IF($A46="","",IFERROR(INDEX(Treatment_Entry!$AA$5:$AA$104,MATCH($A46,Treatment_Entry!$A$5:$A$104,0)),""))</f>
        <v/>
      </c>
      <c r="H46" s="6">
        <f>IF($A46="","",IFERROR(INDEX(Clinical_Entry!$AB$5:$AB$104,MATCH($A46,Clinical_Entry!$A$5:$A$104,0)),""))</f>
        <v/>
      </c>
      <c r="I46" s="6">
        <f>IF($A46="","",IFERROR(INDEX(Clinical_Entry!$AC$5:$AC$104,MATCH($A46,Clinical_Entry!$A$5:$A$104,0)),""))</f>
        <v/>
      </c>
      <c r="J46" s="6">
        <f>IF($A46="","",IFERROR(INDEX(Treatment_Entry!$K$5:$K$104,MATCH($A46,Treatment_Entry!$A$5:$A$104,0)),""))</f>
        <v/>
      </c>
      <c r="K46" s="7">
        <f>IF($A46="","",IFERROR(INDEX(Treatment_Entry!$AC$5:$AC$104,MATCH($A46,Treatment_Entry!$A$5:$A$104,0)),""))</f>
        <v/>
      </c>
      <c r="L46" s="6">
        <f>IF($A46="","",IFERROR(INDEX(Treatment_Entry!$AE$5:$AE$104,MATCH($A46,Treatment_Entry!$A$5:$A$104,0)),""))</f>
        <v/>
      </c>
      <c r="M46" s="8">
        <f>IF($A46="","",IF(AND($E46="Not done",OR($C46="High",$C46="Very High / Locally Advanced",LEFT($C46,2)="M1")),1,0))</f>
        <v/>
      </c>
      <c r="N46" s="8">
        <f>IF($A46="","",IF(AND($F46="Not done",OR($C46="High",$C46="Very High / Locally Advanced")),1,0))</f>
        <v/>
      </c>
      <c r="O46" s="8">
        <f>IF($A46="","",IF($G46="Not started",1,0))</f>
        <v/>
      </c>
      <c r="P46" s="8">
        <f>IF($A46="","",IF($H46="Not done",1,0))</f>
        <v/>
      </c>
      <c r="Q46" s="8">
        <f>IF($A46="","",IF($I46="Not done",1,0))</f>
        <v/>
      </c>
      <c r="R46" s="8">
        <f>IF($A46="","",IF(AND($D46="Hormone-sensitive (HSPC)",$C46="High",$J46="Not initiated"),1,0))</f>
        <v/>
      </c>
      <c r="S46" s="8">
        <f>IF($A46="","",IF($K46="",1,0))</f>
        <v/>
      </c>
      <c r="T46" s="8">
        <f>IF($A46="","",IF(OR($L46="",$L46="Not done"),1,0))</f>
        <v/>
      </c>
      <c r="U46" s="8">
        <f>IF($A46="","",SUM($M46:$O46))</f>
        <v/>
      </c>
      <c r="V46" s="8">
        <f>IF($A46="","",SUM($P46:$R46))</f>
        <v/>
      </c>
      <c r="W46" s="8">
        <f>IF($A46="","",SUM($S46:$T46))</f>
        <v/>
      </c>
      <c r="X46" s="8">
        <f>IF($A46="","",SUM($U46:$W46))</f>
        <v/>
      </c>
      <c r="Y46" s="6">
        <f>IF($A46="","",IF($U46&gt;0,"Urgent",IF($V46&gt;0,"Warning",IF($W46&gt;0,"Info","Closed"))))</f>
        <v/>
      </c>
      <c r="Z46" s="6">
        <f>IF($A46="","",IF($M46=1,"Complete bone scan / SPECT",IF($N46=1,"Complete PSMA PET-CT",IF($O46=1,"Start bone protection plan",IF($P46=1,"Order DEXA",IF($Q46=1,"Order genomics",IF($R46=1,"Review ARSI intensification",IF($S46=1,"Schedule follow-up PSA",IF($T46=1,"Document psychosocial screening","No open gap")))))))))</f>
        <v/>
      </c>
      <c r="AA46" s="6">
        <f>IF($A46="","",IF($X46=0,"No open care gaps",$Y46&amp;" priority · "&amp;$Z46))</f>
        <v/>
      </c>
    </row>
    <row r="47">
      <c r="A47" s="6">
        <f>IF(Demographics_Entry!$A47="","",Demographics_Entry!$A47)</f>
        <v/>
      </c>
      <c r="B47" s="6">
        <f>IF($A47="","",IFERROR(INDEX(Demographics_Entry!$E$5:$E$104,MATCH($A47,Demographics_Entry!$A$5:$A$104,0)),""))</f>
        <v/>
      </c>
      <c r="C47" s="6">
        <f>IF($A47="","",IFERROR(INDEX(Clinical_Entry!$U$5:$U$104,MATCH($A47,Clinical_Entry!$A$5:$A$104,0)),""))</f>
        <v/>
      </c>
      <c r="D47" s="6">
        <f>IF($A47="","",IFERROR(INDEX(Clinical_Entry!$W$5:$W$104,MATCH($A47,Clinical_Entry!$A$5:$A$104,0)),""))</f>
        <v/>
      </c>
      <c r="E47" s="6">
        <f>IF($A47="","",IFERROR(INDEX(Clinical_Entry!$Y$5:$Y$104,MATCH($A47,Clinical_Entry!$A$5:$A$104,0)),""))</f>
        <v/>
      </c>
      <c r="F47" s="6">
        <f>IF($A47="","",IFERROR(INDEX(Clinical_Entry!$Z$5:$Z$104,MATCH($A47,Clinical_Entry!$A$5:$A$104,0)),""))</f>
        <v/>
      </c>
      <c r="G47" s="6">
        <f>IF($A47="","",IFERROR(INDEX(Treatment_Entry!$AA$5:$AA$104,MATCH($A47,Treatment_Entry!$A$5:$A$104,0)),""))</f>
        <v/>
      </c>
      <c r="H47" s="6">
        <f>IF($A47="","",IFERROR(INDEX(Clinical_Entry!$AB$5:$AB$104,MATCH($A47,Clinical_Entry!$A$5:$A$104,0)),""))</f>
        <v/>
      </c>
      <c r="I47" s="6">
        <f>IF($A47="","",IFERROR(INDEX(Clinical_Entry!$AC$5:$AC$104,MATCH($A47,Clinical_Entry!$A$5:$A$104,0)),""))</f>
        <v/>
      </c>
      <c r="J47" s="6">
        <f>IF($A47="","",IFERROR(INDEX(Treatment_Entry!$K$5:$K$104,MATCH($A47,Treatment_Entry!$A$5:$A$104,0)),""))</f>
        <v/>
      </c>
      <c r="K47" s="7">
        <f>IF($A47="","",IFERROR(INDEX(Treatment_Entry!$AC$5:$AC$104,MATCH($A47,Treatment_Entry!$A$5:$A$104,0)),""))</f>
        <v/>
      </c>
      <c r="L47" s="6">
        <f>IF($A47="","",IFERROR(INDEX(Treatment_Entry!$AE$5:$AE$104,MATCH($A47,Treatment_Entry!$A$5:$A$104,0)),""))</f>
        <v/>
      </c>
      <c r="M47" s="8">
        <f>IF($A47="","",IF(AND($E47="Not done",OR($C47="High",$C47="Very High / Locally Advanced",LEFT($C47,2)="M1")),1,0))</f>
        <v/>
      </c>
      <c r="N47" s="8">
        <f>IF($A47="","",IF(AND($F47="Not done",OR($C47="High",$C47="Very High / Locally Advanced")),1,0))</f>
        <v/>
      </c>
      <c r="O47" s="8">
        <f>IF($A47="","",IF($G47="Not started",1,0))</f>
        <v/>
      </c>
      <c r="P47" s="8">
        <f>IF($A47="","",IF($H47="Not done",1,0))</f>
        <v/>
      </c>
      <c r="Q47" s="8">
        <f>IF($A47="","",IF($I47="Not done",1,0))</f>
        <v/>
      </c>
      <c r="R47" s="8">
        <f>IF($A47="","",IF(AND($D47="Hormone-sensitive (HSPC)",$C47="High",$J47="Not initiated"),1,0))</f>
        <v/>
      </c>
      <c r="S47" s="8">
        <f>IF($A47="","",IF($K47="",1,0))</f>
        <v/>
      </c>
      <c r="T47" s="8">
        <f>IF($A47="","",IF(OR($L47="",$L47="Not done"),1,0))</f>
        <v/>
      </c>
      <c r="U47" s="8">
        <f>IF($A47="","",SUM($M47:$O47))</f>
        <v/>
      </c>
      <c r="V47" s="8">
        <f>IF($A47="","",SUM($P47:$R47))</f>
        <v/>
      </c>
      <c r="W47" s="8">
        <f>IF($A47="","",SUM($S47:$T47))</f>
        <v/>
      </c>
      <c r="X47" s="8">
        <f>IF($A47="","",SUM($U47:$W47))</f>
        <v/>
      </c>
      <c r="Y47" s="6">
        <f>IF($A47="","",IF($U47&gt;0,"Urgent",IF($V47&gt;0,"Warning",IF($W47&gt;0,"Info","Closed"))))</f>
        <v/>
      </c>
      <c r="Z47" s="6">
        <f>IF($A47="","",IF($M47=1,"Complete bone scan / SPECT",IF($N47=1,"Complete PSMA PET-CT",IF($O47=1,"Start bone protection plan",IF($P47=1,"Order DEXA",IF($Q47=1,"Order genomics",IF($R47=1,"Review ARSI intensification",IF($S47=1,"Schedule follow-up PSA",IF($T47=1,"Document psychosocial screening","No open gap")))))))))</f>
        <v/>
      </c>
      <c r="AA47" s="6">
        <f>IF($A47="","",IF($X47=0,"No open care gaps",$Y47&amp;" priority · "&amp;$Z47))</f>
        <v/>
      </c>
    </row>
    <row r="48">
      <c r="A48" s="6">
        <f>IF(Demographics_Entry!$A48="","",Demographics_Entry!$A48)</f>
        <v/>
      </c>
      <c r="B48" s="6">
        <f>IF($A48="","",IFERROR(INDEX(Demographics_Entry!$E$5:$E$104,MATCH($A48,Demographics_Entry!$A$5:$A$104,0)),""))</f>
        <v/>
      </c>
      <c r="C48" s="6">
        <f>IF($A48="","",IFERROR(INDEX(Clinical_Entry!$U$5:$U$104,MATCH($A48,Clinical_Entry!$A$5:$A$104,0)),""))</f>
        <v/>
      </c>
      <c r="D48" s="6">
        <f>IF($A48="","",IFERROR(INDEX(Clinical_Entry!$W$5:$W$104,MATCH($A48,Clinical_Entry!$A$5:$A$104,0)),""))</f>
        <v/>
      </c>
      <c r="E48" s="6">
        <f>IF($A48="","",IFERROR(INDEX(Clinical_Entry!$Y$5:$Y$104,MATCH($A48,Clinical_Entry!$A$5:$A$104,0)),""))</f>
        <v/>
      </c>
      <c r="F48" s="6">
        <f>IF($A48="","",IFERROR(INDEX(Clinical_Entry!$Z$5:$Z$104,MATCH($A48,Clinical_Entry!$A$5:$A$104,0)),""))</f>
        <v/>
      </c>
      <c r="G48" s="6">
        <f>IF($A48="","",IFERROR(INDEX(Treatment_Entry!$AA$5:$AA$104,MATCH($A48,Treatment_Entry!$A$5:$A$104,0)),""))</f>
        <v/>
      </c>
      <c r="H48" s="6">
        <f>IF($A48="","",IFERROR(INDEX(Clinical_Entry!$AB$5:$AB$104,MATCH($A48,Clinical_Entry!$A$5:$A$104,0)),""))</f>
        <v/>
      </c>
      <c r="I48" s="6">
        <f>IF($A48="","",IFERROR(INDEX(Clinical_Entry!$AC$5:$AC$104,MATCH($A48,Clinical_Entry!$A$5:$A$104,0)),""))</f>
        <v/>
      </c>
      <c r="J48" s="6">
        <f>IF($A48="","",IFERROR(INDEX(Treatment_Entry!$K$5:$K$104,MATCH($A48,Treatment_Entry!$A$5:$A$104,0)),""))</f>
        <v/>
      </c>
      <c r="K48" s="7">
        <f>IF($A48="","",IFERROR(INDEX(Treatment_Entry!$AC$5:$AC$104,MATCH($A48,Treatment_Entry!$A$5:$A$104,0)),""))</f>
        <v/>
      </c>
      <c r="L48" s="6">
        <f>IF($A48="","",IFERROR(INDEX(Treatment_Entry!$AE$5:$AE$104,MATCH($A48,Treatment_Entry!$A$5:$A$104,0)),""))</f>
        <v/>
      </c>
      <c r="M48" s="8">
        <f>IF($A48="","",IF(AND($E48="Not done",OR($C48="High",$C48="Very High / Locally Advanced",LEFT($C48,2)="M1")),1,0))</f>
        <v/>
      </c>
      <c r="N48" s="8">
        <f>IF($A48="","",IF(AND($F48="Not done",OR($C48="High",$C48="Very High / Locally Advanced")),1,0))</f>
        <v/>
      </c>
      <c r="O48" s="8">
        <f>IF($A48="","",IF($G48="Not started",1,0))</f>
        <v/>
      </c>
      <c r="P48" s="8">
        <f>IF($A48="","",IF($H48="Not done",1,0))</f>
        <v/>
      </c>
      <c r="Q48" s="8">
        <f>IF($A48="","",IF($I48="Not done",1,0))</f>
        <v/>
      </c>
      <c r="R48" s="8">
        <f>IF($A48="","",IF(AND($D48="Hormone-sensitive (HSPC)",$C48="High",$J48="Not initiated"),1,0))</f>
        <v/>
      </c>
      <c r="S48" s="8">
        <f>IF($A48="","",IF($K48="",1,0))</f>
        <v/>
      </c>
      <c r="T48" s="8">
        <f>IF($A48="","",IF(OR($L48="",$L48="Not done"),1,0))</f>
        <v/>
      </c>
      <c r="U48" s="8">
        <f>IF($A48="","",SUM($M48:$O48))</f>
        <v/>
      </c>
      <c r="V48" s="8">
        <f>IF($A48="","",SUM($P48:$R48))</f>
        <v/>
      </c>
      <c r="W48" s="8">
        <f>IF($A48="","",SUM($S48:$T48))</f>
        <v/>
      </c>
      <c r="X48" s="8">
        <f>IF($A48="","",SUM($U48:$W48))</f>
        <v/>
      </c>
      <c r="Y48" s="6">
        <f>IF($A48="","",IF($U48&gt;0,"Urgent",IF($V48&gt;0,"Warning",IF($W48&gt;0,"Info","Closed"))))</f>
        <v/>
      </c>
      <c r="Z48" s="6">
        <f>IF($A48="","",IF($M48=1,"Complete bone scan / SPECT",IF($N48=1,"Complete PSMA PET-CT",IF($O48=1,"Start bone protection plan",IF($P48=1,"Order DEXA",IF($Q48=1,"Order genomics",IF($R48=1,"Review ARSI intensification",IF($S48=1,"Schedule follow-up PSA",IF($T48=1,"Document psychosocial screening","No open gap")))))))))</f>
        <v/>
      </c>
      <c r="AA48" s="6">
        <f>IF($A48="","",IF($X48=0,"No open care gaps",$Y48&amp;" priority · "&amp;$Z48))</f>
        <v/>
      </c>
    </row>
    <row r="49">
      <c r="A49" s="6">
        <f>IF(Demographics_Entry!$A49="","",Demographics_Entry!$A49)</f>
        <v/>
      </c>
      <c r="B49" s="6">
        <f>IF($A49="","",IFERROR(INDEX(Demographics_Entry!$E$5:$E$104,MATCH($A49,Demographics_Entry!$A$5:$A$104,0)),""))</f>
        <v/>
      </c>
      <c r="C49" s="6">
        <f>IF($A49="","",IFERROR(INDEX(Clinical_Entry!$U$5:$U$104,MATCH($A49,Clinical_Entry!$A$5:$A$104,0)),""))</f>
        <v/>
      </c>
      <c r="D49" s="6">
        <f>IF($A49="","",IFERROR(INDEX(Clinical_Entry!$W$5:$W$104,MATCH($A49,Clinical_Entry!$A$5:$A$104,0)),""))</f>
        <v/>
      </c>
      <c r="E49" s="6">
        <f>IF($A49="","",IFERROR(INDEX(Clinical_Entry!$Y$5:$Y$104,MATCH($A49,Clinical_Entry!$A$5:$A$104,0)),""))</f>
        <v/>
      </c>
      <c r="F49" s="6">
        <f>IF($A49="","",IFERROR(INDEX(Clinical_Entry!$Z$5:$Z$104,MATCH($A49,Clinical_Entry!$A$5:$A$104,0)),""))</f>
        <v/>
      </c>
      <c r="G49" s="6">
        <f>IF($A49="","",IFERROR(INDEX(Treatment_Entry!$AA$5:$AA$104,MATCH($A49,Treatment_Entry!$A$5:$A$104,0)),""))</f>
        <v/>
      </c>
      <c r="H49" s="6">
        <f>IF($A49="","",IFERROR(INDEX(Clinical_Entry!$AB$5:$AB$104,MATCH($A49,Clinical_Entry!$A$5:$A$104,0)),""))</f>
        <v/>
      </c>
      <c r="I49" s="6">
        <f>IF($A49="","",IFERROR(INDEX(Clinical_Entry!$AC$5:$AC$104,MATCH($A49,Clinical_Entry!$A$5:$A$104,0)),""))</f>
        <v/>
      </c>
      <c r="J49" s="6">
        <f>IF($A49="","",IFERROR(INDEX(Treatment_Entry!$K$5:$K$104,MATCH($A49,Treatment_Entry!$A$5:$A$104,0)),""))</f>
        <v/>
      </c>
      <c r="K49" s="7">
        <f>IF($A49="","",IFERROR(INDEX(Treatment_Entry!$AC$5:$AC$104,MATCH($A49,Treatment_Entry!$A$5:$A$104,0)),""))</f>
        <v/>
      </c>
      <c r="L49" s="6">
        <f>IF($A49="","",IFERROR(INDEX(Treatment_Entry!$AE$5:$AE$104,MATCH($A49,Treatment_Entry!$A$5:$A$104,0)),""))</f>
        <v/>
      </c>
      <c r="M49" s="8">
        <f>IF($A49="","",IF(AND($E49="Not done",OR($C49="High",$C49="Very High / Locally Advanced",LEFT($C49,2)="M1")),1,0))</f>
        <v/>
      </c>
      <c r="N49" s="8">
        <f>IF($A49="","",IF(AND($F49="Not done",OR($C49="High",$C49="Very High / Locally Advanced")),1,0))</f>
        <v/>
      </c>
      <c r="O49" s="8">
        <f>IF($A49="","",IF($G49="Not started",1,0))</f>
        <v/>
      </c>
      <c r="P49" s="8">
        <f>IF($A49="","",IF($H49="Not done",1,0))</f>
        <v/>
      </c>
      <c r="Q49" s="8">
        <f>IF($A49="","",IF($I49="Not done",1,0))</f>
        <v/>
      </c>
      <c r="R49" s="8">
        <f>IF($A49="","",IF(AND($D49="Hormone-sensitive (HSPC)",$C49="High",$J49="Not initiated"),1,0))</f>
        <v/>
      </c>
      <c r="S49" s="8">
        <f>IF($A49="","",IF($K49="",1,0))</f>
        <v/>
      </c>
      <c r="T49" s="8">
        <f>IF($A49="","",IF(OR($L49="",$L49="Not done"),1,0))</f>
        <v/>
      </c>
      <c r="U49" s="8">
        <f>IF($A49="","",SUM($M49:$O49))</f>
        <v/>
      </c>
      <c r="V49" s="8">
        <f>IF($A49="","",SUM($P49:$R49))</f>
        <v/>
      </c>
      <c r="W49" s="8">
        <f>IF($A49="","",SUM($S49:$T49))</f>
        <v/>
      </c>
      <c r="X49" s="8">
        <f>IF($A49="","",SUM($U49:$W49))</f>
        <v/>
      </c>
      <c r="Y49" s="6">
        <f>IF($A49="","",IF($U49&gt;0,"Urgent",IF($V49&gt;0,"Warning",IF($W49&gt;0,"Info","Closed"))))</f>
        <v/>
      </c>
      <c r="Z49" s="6">
        <f>IF($A49="","",IF($M49=1,"Complete bone scan / SPECT",IF($N49=1,"Complete PSMA PET-CT",IF($O49=1,"Start bone protection plan",IF($P49=1,"Order DEXA",IF($Q49=1,"Order genomics",IF($R49=1,"Review ARSI intensification",IF($S49=1,"Schedule follow-up PSA",IF($T49=1,"Document psychosocial screening","No open gap")))))))))</f>
        <v/>
      </c>
      <c r="AA49" s="6">
        <f>IF($A49="","",IF($X49=0,"No open care gaps",$Y49&amp;" priority · "&amp;$Z49))</f>
        <v/>
      </c>
    </row>
    <row r="50">
      <c r="A50" s="6">
        <f>IF(Demographics_Entry!$A50="","",Demographics_Entry!$A50)</f>
        <v/>
      </c>
      <c r="B50" s="6">
        <f>IF($A50="","",IFERROR(INDEX(Demographics_Entry!$E$5:$E$104,MATCH($A50,Demographics_Entry!$A$5:$A$104,0)),""))</f>
        <v/>
      </c>
      <c r="C50" s="6">
        <f>IF($A50="","",IFERROR(INDEX(Clinical_Entry!$U$5:$U$104,MATCH($A50,Clinical_Entry!$A$5:$A$104,0)),""))</f>
        <v/>
      </c>
      <c r="D50" s="6">
        <f>IF($A50="","",IFERROR(INDEX(Clinical_Entry!$W$5:$W$104,MATCH($A50,Clinical_Entry!$A$5:$A$104,0)),""))</f>
        <v/>
      </c>
      <c r="E50" s="6">
        <f>IF($A50="","",IFERROR(INDEX(Clinical_Entry!$Y$5:$Y$104,MATCH($A50,Clinical_Entry!$A$5:$A$104,0)),""))</f>
        <v/>
      </c>
      <c r="F50" s="6">
        <f>IF($A50="","",IFERROR(INDEX(Clinical_Entry!$Z$5:$Z$104,MATCH($A50,Clinical_Entry!$A$5:$A$104,0)),""))</f>
        <v/>
      </c>
      <c r="G50" s="6">
        <f>IF($A50="","",IFERROR(INDEX(Treatment_Entry!$AA$5:$AA$104,MATCH($A50,Treatment_Entry!$A$5:$A$104,0)),""))</f>
        <v/>
      </c>
      <c r="H50" s="6">
        <f>IF($A50="","",IFERROR(INDEX(Clinical_Entry!$AB$5:$AB$104,MATCH($A50,Clinical_Entry!$A$5:$A$104,0)),""))</f>
        <v/>
      </c>
      <c r="I50" s="6">
        <f>IF($A50="","",IFERROR(INDEX(Clinical_Entry!$AC$5:$AC$104,MATCH($A50,Clinical_Entry!$A$5:$A$104,0)),""))</f>
        <v/>
      </c>
      <c r="J50" s="6">
        <f>IF($A50="","",IFERROR(INDEX(Treatment_Entry!$K$5:$K$104,MATCH($A50,Treatment_Entry!$A$5:$A$104,0)),""))</f>
        <v/>
      </c>
      <c r="K50" s="7">
        <f>IF($A50="","",IFERROR(INDEX(Treatment_Entry!$AC$5:$AC$104,MATCH($A50,Treatment_Entry!$A$5:$A$104,0)),""))</f>
        <v/>
      </c>
      <c r="L50" s="6">
        <f>IF($A50="","",IFERROR(INDEX(Treatment_Entry!$AE$5:$AE$104,MATCH($A50,Treatment_Entry!$A$5:$A$104,0)),""))</f>
        <v/>
      </c>
      <c r="M50" s="8">
        <f>IF($A50="","",IF(AND($E50="Not done",OR($C50="High",$C50="Very High / Locally Advanced",LEFT($C50,2)="M1")),1,0))</f>
        <v/>
      </c>
      <c r="N50" s="8">
        <f>IF($A50="","",IF(AND($F50="Not done",OR($C50="High",$C50="Very High / Locally Advanced")),1,0))</f>
        <v/>
      </c>
      <c r="O50" s="8">
        <f>IF($A50="","",IF($G50="Not started",1,0))</f>
        <v/>
      </c>
      <c r="P50" s="8">
        <f>IF($A50="","",IF($H50="Not done",1,0))</f>
        <v/>
      </c>
      <c r="Q50" s="8">
        <f>IF($A50="","",IF($I50="Not done",1,0))</f>
        <v/>
      </c>
      <c r="R50" s="8">
        <f>IF($A50="","",IF(AND($D50="Hormone-sensitive (HSPC)",$C50="High",$J50="Not initiated"),1,0))</f>
        <v/>
      </c>
      <c r="S50" s="8">
        <f>IF($A50="","",IF($K50="",1,0))</f>
        <v/>
      </c>
      <c r="T50" s="8">
        <f>IF($A50="","",IF(OR($L50="",$L50="Not done"),1,0))</f>
        <v/>
      </c>
      <c r="U50" s="8">
        <f>IF($A50="","",SUM($M50:$O50))</f>
        <v/>
      </c>
      <c r="V50" s="8">
        <f>IF($A50="","",SUM($P50:$R50))</f>
        <v/>
      </c>
      <c r="W50" s="8">
        <f>IF($A50="","",SUM($S50:$T50))</f>
        <v/>
      </c>
      <c r="X50" s="8">
        <f>IF($A50="","",SUM($U50:$W50))</f>
        <v/>
      </c>
      <c r="Y50" s="6">
        <f>IF($A50="","",IF($U50&gt;0,"Urgent",IF($V50&gt;0,"Warning",IF($W50&gt;0,"Info","Closed"))))</f>
        <v/>
      </c>
      <c r="Z50" s="6">
        <f>IF($A50="","",IF($M50=1,"Complete bone scan / SPECT",IF($N50=1,"Complete PSMA PET-CT",IF($O50=1,"Start bone protection plan",IF($P50=1,"Order DEXA",IF($Q50=1,"Order genomics",IF($R50=1,"Review ARSI intensification",IF($S50=1,"Schedule follow-up PSA",IF($T50=1,"Document psychosocial screening","No open gap")))))))))</f>
        <v/>
      </c>
      <c r="AA50" s="6">
        <f>IF($A50="","",IF($X50=0,"No open care gaps",$Y50&amp;" priority · "&amp;$Z50))</f>
        <v/>
      </c>
    </row>
    <row r="51">
      <c r="A51" s="6">
        <f>IF(Demographics_Entry!$A51="","",Demographics_Entry!$A51)</f>
        <v/>
      </c>
      <c r="B51" s="6">
        <f>IF($A51="","",IFERROR(INDEX(Demographics_Entry!$E$5:$E$104,MATCH($A51,Demographics_Entry!$A$5:$A$104,0)),""))</f>
        <v/>
      </c>
      <c r="C51" s="6">
        <f>IF($A51="","",IFERROR(INDEX(Clinical_Entry!$U$5:$U$104,MATCH($A51,Clinical_Entry!$A$5:$A$104,0)),""))</f>
        <v/>
      </c>
      <c r="D51" s="6">
        <f>IF($A51="","",IFERROR(INDEX(Clinical_Entry!$W$5:$W$104,MATCH($A51,Clinical_Entry!$A$5:$A$104,0)),""))</f>
        <v/>
      </c>
      <c r="E51" s="6">
        <f>IF($A51="","",IFERROR(INDEX(Clinical_Entry!$Y$5:$Y$104,MATCH($A51,Clinical_Entry!$A$5:$A$104,0)),""))</f>
        <v/>
      </c>
      <c r="F51" s="6">
        <f>IF($A51="","",IFERROR(INDEX(Clinical_Entry!$Z$5:$Z$104,MATCH($A51,Clinical_Entry!$A$5:$A$104,0)),""))</f>
        <v/>
      </c>
      <c r="G51" s="6">
        <f>IF($A51="","",IFERROR(INDEX(Treatment_Entry!$AA$5:$AA$104,MATCH($A51,Treatment_Entry!$A$5:$A$104,0)),""))</f>
        <v/>
      </c>
      <c r="H51" s="6">
        <f>IF($A51="","",IFERROR(INDEX(Clinical_Entry!$AB$5:$AB$104,MATCH($A51,Clinical_Entry!$A$5:$A$104,0)),""))</f>
        <v/>
      </c>
      <c r="I51" s="6">
        <f>IF($A51="","",IFERROR(INDEX(Clinical_Entry!$AC$5:$AC$104,MATCH($A51,Clinical_Entry!$A$5:$A$104,0)),""))</f>
        <v/>
      </c>
      <c r="J51" s="6">
        <f>IF($A51="","",IFERROR(INDEX(Treatment_Entry!$K$5:$K$104,MATCH($A51,Treatment_Entry!$A$5:$A$104,0)),""))</f>
        <v/>
      </c>
      <c r="K51" s="7">
        <f>IF($A51="","",IFERROR(INDEX(Treatment_Entry!$AC$5:$AC$104,MATCH($A51,Treatment_Entry!$A$5:$A$104,0)),""))</f>
        <v/>
      </c>
      <c r="L51" s="6">
        <f>IF($A51="","",IFERROR(INDEX(Treatment_Entry!$AE$5:$AE$104,MATCH($A51,Treatment_Entry!$A$5:$A$104,0)),""))</f>
        <v/>
      </c>
      <c r="M51" s="8">
        <f>IF($A51="","",IF(AND($E51="Not done",OR($C51="High",$C51="Very High / Locally Advanced",LEFT($C51,2)="M1")),1,0))</f>
        <v/>
      </c>
      <c r="N51" s="8">
        <f>IF($A51="","",IF(AND($F51="Not done",OR($C51="High",$C51="Very High / Locally Advanced")),1,0))</f>
        <v/>
      </c>
      <c r="O51" s="8">
        <f>IF($A51="","",IF($G51="Not started",1,0))</f>
        <v/>
      </c>
      <c r="P51" s="8">
        <f>IF($A51="","",IF($H51="Not done",1,0))</f>
        <v/>
      </c>
      <c r="Q51" s="8">
        <f>IF($A51="","",IF($I51="Not done",1,0))</f>
        <v/>
      </c>
      <c r="R51" s="8">
        <f>IF($A51="","",IF(AND($D51="Hormone-sensitive (HSPC)",$C51="High",$J51="Not initiated"),1,0))</f>
        <v/>
      </c>
      <c r="S51" s="8">
        <f>IF($A51="","",IF($K51="",1,0))</f>
        <v/>
      </c>
      <c r="T51" s="8">
        <f>IF($A51="","",IF(OR($L51="",$L51="Not done"),1,0))</f>
        <v/>
      </c>
      <c r="U51" s="8">
        <f>IF($A51="","",SUM($M51:$O51))</f>
        <v/>
      </c>
      <c r="V51" s="8">
        <f>IF($A51="","",SUM($P51:$R51))</f>
        <v/>
      </c>
      <c r="W51" s="8">
        <f>IF($A51="","",SUM($S51:$T51))</f>
        <v/>
      </c>
      <c r="X51" s="8">
        <f>IF($A51="","",SUM($U51:$W51))</f>
        <v/>
      </c>
      <c r="Y51" s="6">
        <f>IF($A51="","",IF($U51&gt;0,"Urgent",IF($V51&gt;0,"Warning",IF($W51&gt;0,"Info","Closed"))))</f>
        <v/>
      </c>
      <c r="Z51" s="6">
        <f>IF($A51="","",IF($M51=1,"Complete bone scan / SPECT",IF($N51=1,"Complete PSMA PET-CT",IF($O51=1,"Start bone protection plan",IF($P51=1,"Order DEXA",IF($Q51=1,"Order genomics",IF($R51=1,"Review ARSI intensification",IF($S51=1,"Schedule follow-up PSA",IF($T51=1,"Document psychosocial screening","No open gap")))))))))</f>
        <v/>
      </c>
      <c r="AA51" s="6">
        <f>IF($A51="","",IF($X51=0,"No open care gaps",$Y51&amp;" priority · "&amp;$Z51))</f>
        <v/>
      </c>
    </row>
    <row r="52">
      <c r="A52" s="6">
        <f>IF(Demographics_Entry!$A52="","",Demographics_Entry!$A52)</f>
        <v/>
      </c>
      <c r="B52" s="6">
        <f>IF($A52="","",IFERROR(INDEX(Demographics_Entry!$E$5:$E$104,MATCH($A52,Demographics_Entry!$A$5:$A$104,0)),""))</f>
        <v/>
      </c>
      <c r="C52" s="6">
        <f>IF($A52="","",IFERROR(INDEX(Clinical_Entry!$U$5:$U$104,MATCH($A52,Clinical_Entry!$A$5:$A$104,0)),""))</f>
        <v/>
      </c>
      <c r="D52" s="6">
        <f>IF($A52="","",IFERROR(INDEX(Clinical_Entry!$W$5:$W$104,MATCH($A52,Clinical_Entry!$A$5:$A$104,0)),""))</f>
        <v/>
      </c>
      <c r="E52" s="6">
        <f>IF($A52="","",IFERROR(INDEX(Clinical_Entry!$Y$5:$Y$104,MATCH($A52,Clinical_Entry!$A$5:$A$104,0)),""))</f>
        <v/>
      </c>
      <c r="F52" s="6">
        <f>IF($A52="","",IFERROR(INDEX(Clinical_Entry!$Z$5:$Z$104,MATCH($A52,Clinical_Entry!$A$5:$A$104,0)),""))</f>
        <v/>
      </c>
      <c r="G52" s="6">
        <f>IF($A52="","",IFERROR(INDEX(Treatment_Entry!$AA$5:$AA$104,MATCH($A52,Treatment_Entry!$A$5:$A$104,0)),""))</f>
        <v/>
      </c>
      <c r="H52" s="6">
        <f>IF($A52="","",IFERROR(INDEX(Clinical_Entry!$AB$5:$AB$104,MATCH($A52,Clinical_Entry!$A$5:$A$104,0)),""))</f>
        <v/>
      </c>
      <c r="I52" s="6">
        <f>IF($A52="","",IFERROR(INDEX(Clinical_Entry!$AC$5:$AC$104,MATCH($A52,Clinical_Entry!$A$5:$A$104,0)),""))</f>
        <v/>
      </c>
      <c r="J52" s="6">
        <f>IF($A52="","",IFERROR(INDEX(Treatment_Entry!$K$5:$K$104,MATCH($A52,Treatment_Entry!$A$5:$A$104,0)),""))</f>
        <v/>
      </c>
      <c r="K52" s="7">
        <f>IF($A52="","",IFERROR(INDEX(Treatment_Entry!$AC$5:$AC$104,MATCH($A52,Treatment_Entry!$A$5:$A$104,0)),""))</f>
        <v/>
      </c>
      <c r="L52" s="6">
        <f>IF($A52="","",IFERROR(INDEX(Treatment_Entry!$AE$5:$AE$104,MATCH($A52,Treatment_Entry!$A$5:$A$104,0)),""))</f>
        <v/>
      </c>
      <c r="M52" s="8">
        <f>IF($A52="","",IF(AND($E52="Not done",OR($C52="High",$C52="Very High / Locally Advanced",LEFT($C52,2)="M1")),1,0))</f>
        <v/>
      </c>
      <c r="N52" s="8">
        <f>IF($A52="","",IF(AND($F52="Not done",OR($C52="High",$C52="Very High / Locally Advanced")),1,0))</f>
        <v/>
      </c>
      <c r="O52" s="8">
        <f>IF($A52="","",IF($G52="Not started",1,0))</f>
        <v/>
      </c>
      <c r="P52" s="8">
        <f>IF($A52="","",IF($H52="Not done",1,0))</f>
        <v/>
      </c>
      <c r="Q52" s="8">
        <f>IF($A52="","",IF($I52="Not done",1,0))</f>
        <v/>
      </c>
      <c r="R52" s="8">
        <f>IF($A52="","",IF(AND($D52="Hormone-sensitive (HSPC)",$C52="High",$J52="Not initiated"),1,0))</f>
        <v/>
      </c>
      <c r="S52" s="8">
        <f>IF($A52="","",IF($K52="",1,0))</f>
        <v/>
      </c>
      <c r="T52" s="8">
        <f>IF($A52="","",IF(OR($L52="",$L52="Not done"),1,0))</f>
        <v/>
      </c>
      <c r="U52" s="8">
        <f>IF($A52="","",SUM($M52:$O52))</f>
        <v/>
      </c>
      <c r="V52" s="8">
        <f>IF($A52="","",SUM($P52:$R52))</f>
        <v/>
      </c>
      <c r="W52" s="8">
        <f>IF($A52="","",SUM($S52:$T52))</f>
        <v/>
      </c>
      <c r="X52" s="8">
        <f>IF($A52="","",SUM($U52:$W52))</f>
        <v/>
      </c>
      <c r="Y52" s="6">
        <f>IF($A52="","",IF($U52&gt;0,"Urgent",IF($V52&gt;0,"Warning",IF($W52&gt;0,"Info","Closed"))))</f>
        <v/>
      </c>
      <c r="Z52" s="6">
        <f>IF($A52="","",IF($M52=1,"Complete bone scan / SPECT",IF($N52=1,"Complete PSMA PET-CT",IF($O52=1,"Start bone protection plan",IF($P52=1,"Order DEXA",IF($Q52=1,"Order genomics",IF($R52=1,"Review ARSI intensification",IF($S52=1,"Schedule follow-up PSA",IF($T52=1,"Document psychosocial screening","No open gap")))))))))</f>
        <v/>
      </c>
      <c r="AA52" s="6">
        <f>IF($A52="","",IF($X52=0,"No open care gaps",$Y52&amp;" priority · "&amp;$Z52))</f>
        <v/>
      </c>
    </row>
    <row r="53">
      <c r="A53" s="6">
        <f>IF(Demographics_Entry!$A53="","",Demographics_Entry!$A53)</f>
        <v/>
      </c>
      <c r="B53" s="6">
        <f>IF($A53="","",IFERROR(INDEX(Demographics_Entry!$E$5:$E$104,MATCH($A53,Demographics_Entry!$A$5:$A$104,0)),""))</f>
        <v/>
      </c>
      <c r="C53" s="6">
        <f>IF($A53="","",IFERROR(INDEX(Clinical_Entry!$U$5:$U$104,MATCH($A53,Clinical_Entry!$A$5:$A$104,0)),""))</f>
        <v/>
      </c>
      <c r="D53" s="6">
        <f>IF($A53="","",IFERROR(INDEX(Clinical_Entry!$W$5:$W$104,MATCH($A53,Clinical_Entry!$A$5:$A$104,0)),""))</f>
        <v/>
      </c>
      <c r="E53" s="6">
        <f>IF($A53="","",IFERROR(INDEX(Clinical_Entry!$Y$5:$Y$104,MATCH($A53,Clinical_Entry!$A$5:$A$104,0)),""))</f>
        <v/>
      </c>
      <c r="F53" s="6">
        <f>IF($A53="","",IFERROR(INDEX(Clinical_Entry!$Z$5:$Z$104,MATCH($A53,Clinical_Entry!$A$5:$A$104,0)),""))</f>
        <v/>
      </c>
      <c r="G53" s="6">
        <f>IF($A53="","",IFERROR(INDEX(Treatment_Entry!$AA$5:$AA$104,MATCH($A53,Treatment_Entry!$A$5:$A$104,0)),""))</f>
        <v/>
      </c>
      <c r="H53" s="6">
        <f>IF($A53="","",IFERROR(INDEX(Clinical_Entry!$AB$5:$AB$104,MATCH($A53,Clinical_Entry!$A$5:$A$104,0)),""))</f>
        <v/>
      </c>
      <c r="I53" s="6">
        <f>IF($A53="","",IFERROR(INDEX(Clinical_Entry!$AC$5:$AC$104,MATCH($A53,Clinical_Entry!$A$5:$A$104,0)),""))</f>
        <v/>
      </c>
      <c r="J53" s="6">
        <f>IF($A53="","",IFERROR(INDEX(Treatment_Entry!$K$5:$K$104,MATCH($A53,Treatment_Entry!$A$5:$A$104,0)),""))</f>
        <v/>
      </c>
      <c r="K53" s="7">
        <f>IF($A53="","",IFERROR(INDEX(Treatment_Entry!$AC$5:$AC$104,MATCH($A53,Treatment_Entry!$A$5:$A$104,0)),""))</f>
        <v/>
      </c>
      <c r="L53" s="6">
        <f>IF($A53="","",IFERROR(INDEX(Treatment_Entry!$AE$5:$AE$104,MATCH($A53,Treatment_Entry!$A$5:$A$104,0)),""))</f>
        <v/>
      </c>
      <c r="M53" s="8">
        <f>IF($A53="","",IF(AND($E53="Not done",OR($C53="High",$C53="Very High / Locally Advanced",LEFT($C53,2)="M1")),1,0))</f>
        <v/>
      </c>
      <c r="N53" s="8">
        <f>IF($A53="","",IF(AND($F53="Not done",OR($C53="High",$C53="Very High / Locally Advanced")),1,0))</f>
        <v/>
      </c>
      <c r="O53" s="8">
        <f>IF($A53="","",IF($G53="Not started",1,0))</f>
        <v/>
      </c>
      <c r="P53" s="8">
        <f>IF($A53="","",IF($H53="Not done",1,0))</f>
        <v/>
      </c>
      <c r="Q53" s="8">
        <f>IF($A53="","",IF($I53="Not done",1,0))</f>
        <v/>
      </c>
      <c r="R53" s="8">
        <f>IF($A53="","",IF(AND($D53="Hormone-sensitive (HSPC)",$C53="High",$J53="Not initiated"),1,0))</f>
        <v/>
      </c>
      <c r="S53" s="8">
        <f>IF($A53="","",IF($K53="",1,0))</f>
        <v/>
      </c>
      <c r="T53" s="8">
        <f>IF($A53="","",IF(OR($L53="",$L53="Not done"),1,0))</f>
        <v/>
      </c>
      <c r="U53" s="8">
        <f>IF($A53="","",SUM($M53:$O53))</f>
        <v/>
      </c>
      <c r="V53" s="8">
        <f>IF($A53="","",SUM($P53:$R53))</f>
        <v/>
      </c>
      <c r="W53" s="8">
        <f>IF($A53="","",SUM($S53:$T53))</f>
        <v/>
      </c>
      <c r="X53" s="8">
        <f>IF($A53="","",SUM($U53:$W53))</f>
        <v/>
      </c>
      <c r="Y53" s="6">
        <f>IF($A53="","",IF($U53&gt;0,"Urgent",IF($V53&gt;0,"Warning",IF($W53&gt;0,"Info","Closed"))))</f>
        <v/>
      </c>
      <c r="Z53" s="6">
        <f>IF($A53="","",IF($M53=1,"Complete bone scan / SPECT",IF($N53=1,"Complete PSMA PET-CT",IF($O53=1,"Start bone protection plan",IF($P53=1,"Order DEXA",IF($Q53=1,"Order genomics",IF($R53=1,"Review ARSI intensification",IF($S53=1,"Schedule follow-up PSA",IF($T53=1,"Document psychosocial screening","No open gap")))))))))</f>
        <v/>
      </c>
      <c r="AA53" s="6">
        <f>IF($A53="","",IF($X53=0,"No open care gaps",$Y53&amp;" priority · "&amp;$Z53))</f>
        <v/>
      </c>
    </row>
    <row r="54">
      <c r="A54" s="6">
        <f>IF(Demographics_Entry!$A54="","",Demographics_Entry!$A54)</f>
        <v/>
      </c>
      <c r="B54" s="6">
        <f>IF($A54="","",IFERROR(INDEX(Demographics_Entry!$E$5:$E$104,MATCH($A54,Demographics_Entry!$A$5:$A$104,0)),""))</f>
        <v/>
      </c>
      <c r="C54" s="6">
        <f>IF($A54="","",IFERROR(INDEX(Clinical_Entry!$U$5:$U$104,MATCH($A54,Clinical_Entry!$A$5:$A$104,0)),""))</f>
        <v/>
      </c>
      <c r="D54" s="6">
        <f>IF($A54="","",IFERROR(INDEX(Clinical_Entry!$W$5:$W$104,MATCH($A54,Clinical_Entry!$A$5:$A$104,0)),""))</f>
        <v/>
      </c>
      <c r="E54" s="6">
        <f>IF($A54="","",IFERROR(INDEX(Clinical_Entry!$Y$5:$Y$104,MATCH($A54,Clinical_Entry!$A$5:$A$104,0)),""))</f>
        <v/>
      </c>
      <c r="F54" s="6">
        <f>IF($A54="","",IFERROR(INDEX(Clinical_Entry!$Z$5:$Z$104,MATCH($A54,Clinical_Entry!$A$5:$A$104,0)),""))</f>
        <v/>
      </c>
      <c r="G54" s="6">
        <f>IF($A54="","",IFERROR(INDEX(Treatment_Entry!$AA$5:$AA$104,MATCH($A54,Treatment_Entry!$A$5:$A$104,0)),""))</f>
        <v/>
      </c>
      <c r="H54" s="6">
        <f>IF($A54="","",IFERROR(INDEX(Clinical_Entry!$AB$5:$AB$104,MATCH($A54,Clinical_Entry!$A$5:$A$104,0)),""))</f>
        <v/>
      </c>
      <c r="I54" s="6">
        <f>IF($A54="","",IFERROR(INDEX(Clinical_Entry!$AC$5:$AC$104,MATCH($A54,Clinical_Entry!$A$5:$A$104,0)),""))</f>
        <v/>
      </c>
      <c r="J54" s="6">
        <f>IF($A54="","",IFERROR(INDEX(Treatment_Entry!$K$5:$K$104,MATCH($A54,Treatment_Entry!$A$5:$A$104,0)),""))</f>
        <v/>
      </c>
      <c r="K54" s="7">
        <f>IF($A54="","",IFERROR(INDEX(Treatment_Entry!$AC$5:$AC$104,MATCH($A54,Treatment_Entry!$A$5:$A$104,0)),""))</f>
        <v/>
      </c>
      <c r="L54" s="6">
        <f>IF($A54="","",IFERROR(INDEX(Treatment_Entry!$AE$5:$AE$104,MATCH($A54,Treatment_Entry!$A$5:$A$104,0)),""))</f>
        <v/>
      </c>
      <c r="M54" s="8">
        <f>IF($A54="","",IF(AND($E54="Not done",OR($C54="High",$C54="Very High / Locally Advanced",LEFT($C54,2)="M1")),1,0))</f>
        <v/>
      </c>
      <c r="N54" s="8">
        <f>IF($A54="","",IF(AND($F54="Not done",OR($C54="High",$C54="Very High / Locally Advanced")),1,0))</f>
        <v/>
      </c>
      <c r="O54" s="8">
        <f>IF($A54="","",IF($G54="Not started",1,0))</f>
        <v/>
      </c>
      <c r="P54" s="8">
        <f>IF($A54="","",IF($H54="Not done",1,0))</f>
        <v/>
      </c>
      <c r="Q54" s="8">
        <f>IF($A54="","",IF($I54="Not done",1,0))</f>
        <v/>
      </c>
      <c r="R54" s="8">
        <f>IF($A54="","",IF(AND($D54="Hormone-sensitive (HSPC)",$C54="High",$J54="Not initiated"),1,0))</f>
        <v/>
      </c>
      <c r="S54" s="8">
        <f>IF($A54="","",IF($K54="",1,0))</f>
        <v/>
      </c>
      <c r="T54" s="8">
        <f>IF($A54="","",IF(OR($L54="",$L54="Not done"),1,0))</f>
        <v/>
      </c>
      <c r="U54" s="8">
        <f>IF($A54="","",SUM($M54:$O54))</f>
        <v/>
      </c>
      <c r="V54" s="8">
        <f>IF($A54="","",SUM($P54:$R54))</f>
        <v/>
      </c>
      <c r="W54" s="8">
        <f>IF($A54="","",SUM($S54:$T54))</f>
        <v/>
      </c>
      <c r="X54" s="8">
        <f>IF($A54="","",SUM($U54:$W54))</f>
        <v/>
      </c>
      <c r="Y54" s="6">
        <f>IF($A54="","",IF($U54&gt;0,"Urgent",IF($V54&gt;0,"Warning",IF($W54&gt;0,"Info","Closed"))))</f>
        <v/>
      </c>
      <c r="Z54" s="6">
        <f>IF($A54="","",IF($M54=1,"Complete bone scan / SPECT",IF($N54=1,"Complete PSMA PET-CT",IF($O54=1,"Start bone protection plan",IF($P54=1,"Order DEXA",IF($Q54=1,"Order genomics",IF($R54=1,"Review ARSI intensification",IF($S54=1,"Schedule follow-up PSA",IF($T54=1,"Document psychosocial screening","No open gap")))))))))</f>
        <v/>
      </c>
      <c r="AA54" s="6">
        <f>IF($A54="","",IF($X54=0,"No open care gaps",$Y54&amp;" priority · "&amp;$Z54))</f>
        <v/>
      </c>
    </row>
    <row r="55">
      <c r="A55" s="6">
        <f>IF(Demographics_Entry!$A55="","",Demographics_Entry!$A55)</f>
        <v/>
      </c>
      <c r="B55" s="6">
        <f>IF($A55="","",IFERROR(INDEX(Demographics_Entry!$E$5:$E$104,MATCH($A55,Demographics_Entry!$A$5:$A$104,0)),""))</f>
        <v/>
      </c>
      <c r="C55" s="6">
        <f>IF($A55="","",IFERROR(INDEX(Clinical_Entry!$U$5:$U$104,MATCH($A55,Clinical_Entry!$A$5:$A$104,0)),""))</f>
        <v/>
      </c>
      <c r="D55" s="6">
        <f>IF($A55="","",IFERROR(INDEX(Clinical_Entry!$W$5:$W$104,MATCH($A55,Clinical_Entry!$A$5:$A$104,0)),""))</f>
        <v/>
      </c>
      <c r="E55" s="6">
        <f>IF($A55="","",IFERROR(INDEX(Clinical_Entry!$Y$5:$Y$104,MATCH($A55,Clinical_Entry!$A$5:$A$104,0)),""))</f>
        <v/>
      </c>
      <c r="F55" s="6">
        <f>IF($A55="","",IFERROR(INDEX(Clinical_Entry!$Z$5:$Z$104,MATCH($A55,Clinical_Entry!$A$5:$A$104,0)),""))</f>
        <v/>
      </c>
      <c r="G55" s="6">
        <f>IF($A55="","",IFERROR(INDEX(Treatment_Entry!$AA$5:$AA$104,MATCH($A55,Treatment_Entry!$A$5:$A$104,0)),""))</f>
        <v/>
      </c>
      <c r="H55" s="6">
        <f>IF($A55="","",IFERROR(INDEX(Clinical_Entry!$AB$5:$AB$104,MATCH($A55,Clinical_Entry!$A$5:$A$104,0)),""))</f>
        <v/>
      </c>
      <c r="I55" s="6">
        <f>IF($A55="","",IFERROR(INDEX(Clinical_Entry!$AC$5:$AC$104,MATCH($A55,Clinical_Entry!$A$5:$A$104,0)),""))</f>
        <v/>
      </c>
      <c r="J55" s="6">
        <f>IF($A55="","",IFERROR(INDEX(Treatment_Entry!$K$5:$K$104,MATCH($A55,Treatment_Entry!$A$5:$A$104,0)),""))</f>
        <v/>
      </c>
      <c r="K55" s="7">
        <f>IF($A55="","",IFERROR(INDEX(Treatment_Entry!$AC$5:$AC$104,MATCH($A55,Treatment_Entry!$A$5:$A$104,0)),""))</f>
        <v/>
      </c>
      <c r="L55" s="6">
        <f>IF($A55="","",IFERROR(INDEX(Treatment_Entry!$AE$5:$AE$104,MATCH($A55,Treatment_Entry!$A$5:$A$104,0)),""))</f>
        <v/>
      </c>
      <c r="M55" s="8">
        <f>IF($A55="","",IF(AND($E55="Not done",OR($C55="High",$C55="Very High / Locally Advanced",LEFT($C55,2)="M1")),1,0))</f>
        <v/>
      </c>
      <c r="N55" s="8">
        <f>IF($A55="","",IF(AND($F55="Not done",OR($C55="High",$C55="Very High / Locally Advanced")),1,0))</f>
        <v/>
      </c>
      <c r="O55" s="8">
        <f>IF($A55="","",IF($G55="Not started",1,0))</f>
        <v/>
      </c>
      <c r="P55" s="8">
        <f>IF($A55="","",IF($H55="Not done",1,0))</f>
        <v/>
      </c>
      <c r="Q55" s="8">
        <f>IF($A55="","",IF($I55="Not done",1,0))</f>
        <v/>
      </c>
      <c r="R55" s="8">
        <f>IF($A55="","",IF(AND($D55="Hormone-sensitive (HSPC)",$C55="High",$J55="Not initiated"),1,0))</f>
        <v/>
      </c>
      <c r="S55" s="8">
        <f>IF($A55="","",IF($K55="",1,0))</f>
        <v/>
      </c>
      <c r="T55" s="8">
        <f>IF($A55="","",IF(OR($L55="",$L55="Not done"),1,0))</f>
        <v/>
      </c>
      <c r="U55" s="8">
        <f>IF($A55="","",SUM($M55:$O55))</f>
        <v/>
      </c>
      <c r="V55" s="8">
        <f>IF($A55="","",SUM($P55:$R55))</f>
        <v/>
      </c>
      <c r="W55" s="8">
        <f>IF($A55="","",SUM($S55:$T55))</f>
        <v/>
      </c>
      <c r="X55" s="8">
        <f>IF($A55="","",SUM($U55:$W55))</f>
        <v/>
      </c>
      <c r="Y55" s="6">
        <f>IF($A55="","",IF($U55&gt;0,"Urgent",IF($V55&gt;0,"Warning",IF($W55&gt;0,"Info","Closed"))))</f>
        <v/>
      </c>
      <c r="Z55" s="6">
        <f>IF($A55="","",IF($M55=1,"Complete bone scan / SPECT",IF($N55=1,"Complete PSMA PET-CT",IF($O55=1,"Start bone protection plan",IF($P55=1,"Order DEXA",IF($Q55=1,"Order genomics",IF($R55=1,"Review ARSI intensification",IF($S55=1,"Schedule follow-up PSA",IF($T55=1,"Document psychosocial screening","No open gap")))))))))</f>
        <v/>
      </c>
      <c r="AA55" s="6">
        <f>IF($A55="","",IF($X55=0,"No open care gaps",$Y55&amp;" priority · "&amp;$Z55))</f>
        <v/>
      </c>
    </row>
    <row r="56">
      <c r="A56" s="6">
        <f>IF(Demographics_Entry!$A56="","",Demographics_Entry!$A56)</f>
        <v/>
      </c>
      <c r="B56" s="6">
        <f>IF($A56="","",IFERROR(INDEX(Demographics_Entry!$E$5:$E$104,MATCH($A56,Demographics_Entry!$A$5:$A$104,0)),""))</f>
        <v/>
      </c>
      <c r="C56" s="6">
        <f>IF($A56="","",IFERROR(INDEX(Clinical_Entry!$U$5:$U$104,MATCH($A56,Clinical_Entry!$A$5:$A$104,0)),""))</f>
        <v/>
      </c>
      <c r="D56" s="6">
        <f>IF($A56="","",IFERROR(INDEX(Clinical_Entry!$W$5:$W$104,MATCH($A56,Clinical_Entry!$A$5:$A$104,0)),""))</f>
        <v/>
      </c>
      <c r="E56" s="6">
        <f>IF($A56="","",IFERROR(INDEX(Clinical_Entry!$Y$5:$Y$104,MATCH($A56,Clinical_Entry!$A$5:$A$104,0)),""))</f>
        <v/>
      </c>
      <c r="F56" s="6">
        <f>IF($A56="","",IFERROR(INDEX(Clinical_Entry!$Z$5:$Z$104,MATCH($A56,Clinical_Entry!$A$5:$A$104,0)),""))</f>
        <v/>
      </c>
      <c r="G56" s="6">
        <f>IF($A56="","",IFERROR(INDEX(Treatment_Entry!$AA$5:$AA$104,MATCH($A56,Treatment_Entry!$A$5:$A$104,0)),""))</f>
        <v/>
      </c>
      <c r="H56" s="6">
        <f>IF($A56="","",IFERROR(INDEX(Clinical_Entry!$AB$5:$AB$104,MATCH($A56,Clinical_Entry!$A$5:$A$104,0)),""))</f>
        <v/>
      </c>
      <c r="I56" s="6">
        <f>IF($A56="","",IFERROR(INDEX(Clinical_Entry!$AC$5:$AC$104,MATCH($A56,Clinical_Entry!$A$5:$A$104,0)),""))</f>
        <v/>
      </c>
      <c r="J56" s="6">
        <f>IF($A56="","",IFERROR(INDEX(Treatment_Entry!$K$5:$K$104,MATCH($A56,Treatment_Entry!$A$5:$A$104,0)),""))</f>
        <v/>
      </c>
      <c r="K56" s="7">
        <f>IF($A56="","",IFERROR(INDEX(Treatment_Entry!$AC$5:$AC$104,MATCH($A56,Treatment_Entry!$A$5:$A$104,0)),""))</f>
        <v/>
      </c>
      <c r="L56" s="6">
        <f>IF($A56="","",IFERROR(INDEX(Treatment_Entry!$AE$5:$AE$104,MATCH($A56,Treatment_Entry!$A$5:$A$104,0)),""))</f>
        <v/>
      </c>
      <c r="M56" s="8">
        <f>IF($A56="","",IF(AND($E56="Not done",OR($C56="High",$C56="Very High / Locally Advanced",LEFT($C56,2)="M1")),1,0))</f>
        <v/>
      </c>
      <c r="N56" s="8">
        <f>IF($A56="","",IF(AND($F56="Not done",OR($C56="High",$C56="Very High / Locally Advanced")),1,0))</f>
        <v/>
      </c>
      <c r="O56" s="8">
        <f>IF($A56="","",IF($G56="Not started",1,0))</f>
        <v/>
      </c>
      <c r="P56" s="8">
        <f>IF($A56="","",IF($H56="Not done",1,0))</f>
        <v/>
      </c>
      <c r="Q56" s="8">
        <f>IF($A56="","",IF($I56="Not done",1,0))</f>
        <v/>
      </c>
      <c r="R56" s="8">
        <f>IF($A56="","",IF(AND($D56="Hormone-sensitive (HSPC)",$C56="High",$J56="Not initiated"),1,0))</f>
        <v/>
      </c>
      <c r="S56" s="8">
        <f>IF($A56="","",IF($K56="",1,0))</f>
        <v/>
      </c>
      <c r="T56" s="8">
        <f>IF($A56="","",IF(OR($L56="",$L56="Not done"),1,0))</f>
        <v/>
      </c>
      <c r="U56" s="8">
        <f>IF($A56="","",SUM($M56:$O56))</f>
        <v/>
      </c>
      <c r="V56" s="8">
        <f>IF($A56="","",SUM($P56:$R56))</f>
        <v/>
      </c>
      <c r="W56" s="8">
        <f>IF($A56="","",SUM($S56:$T56))</f>
        <v/>
      </c>
      <c r="X56" s="8">
        <f>IF($A56="","",SUM($U56:$W56))</f>
        <v/>
      </c>
      <c r="Y56" s="6">
        <f>IF($A56="","",IF($U56&gt;0,"Urgent",IF($V56&gt;0,"Warning",IF($W56&gt;0,"Info","Closed"))))</f>
        <v/>
      </c>
      <c r="Z56" s="6">
        <f>IF($A56="","",IF($M56=1,"Complete bone scan / SPECT",IF($N56=1,"Complete PSMA PET-CT",IF($O56=1,"Start bone protection plan",IF($P56=1,"Order DEXA",IF($Q56=1,"Order genomics",IF($R56=1,"Review ARSI intensification",IF($S56=1,"Schedule follow-up PSA",IF($T56=1,"Document psychosocial screening","No open gap")))))))))</f>
        <v/>
      </c>
      <c r="AA56" s="6">
        <f>IF($A56="","",IF($X56=0,"No open care gaps",$Y56&amp;" priority · "&amp;$Z56))</f>
        <v/>
      </c>
    </row>
    <row r="57">
      <c r="A57" s="6">
        <f>IF(Demographics_Entry!$A57="","",Demographics_Entry!$A57)</f>
        <v/>
      </c>
      <c r="B57" s="6">
        <f>IF($A57="","",IFERROR(INDEX(Demographics_Entry!$E$5:$E$104,MATCH($A57,Demographics_Entry!$A$5:$A$104,0)),""))</f>
        <v/>
      </c>
      <c r="C57" s="6">
        <f>IF($A57="","",IFERROR(INDEX(Clinical_Entry!$U$5:$U$104,MATCH($A57,Clinical_Entry!$A$5:$A$104,0)),""))</f>
        <v/>
      </c>
      <c r="D57" s="6">
        <f>IF($A57="","",IFERROR(INDEX(Clinical_Entry!$W$5:$W$104,MATCH($A57,Clinical_Entry!$A$5:$A$104,0)),""))</f>
        <v/>
      </c>
      <c r="E57" s="6">
        <f>IF($A57="","",IFERROR(INDEX(Clinical_Entry!$Y$5:$Y$104,MATCH($A57,Clinical_Entry!$A$5:$A$104,0)),""))</f>
        <v/>
      </c>
      <c r="F57" s="6">
        <f>IF($A57="","",IFERROR(INDEX(Clinical_Entry!$Z$5:$Z$104,MATCH($A57,Clinical_Entry!$A$5:$A$104,0)),""))</f>
        <v/>
      </c>
      <c r="G57" s="6">
        <f>IF($A57="","",IFERROR(INDEX(Treatment_Entry!$AA$5:$AA$104,MATCH($A57,Treatment_Entry!$A$5:$A$104,0)),""))</f>
        <v/>
      </c>
      <c r="H57" s="6">
        <f>IF($A57="","",IFERROR(INDEX(Clinical_Entry!$AB$5:$AB$104,MATCH($A57,Clinical_Entry!$A$5:$A$104,0)),""))</f>
        <v/>
      </c>
      <c r="I57" s="6">
        <f>IF($A57="","",IFERROR(INDEX(Clinical_Entry!$AC$5:$AC$104,MATCH($A57,Clinical_Entry!$A$5:$A$104,0)),""))</f>
        <v/>
      </c>
      <c r="J57" s="6">
        <f>IF($A57="","",IFERROR(INDEX(Treatment_Entry!$K$5:$K$104,MATCH($A57,Treatment_Entry!$A$5:$A$104,0)),""))</f>
        <v/>
      </c>
      <c r="K57" s="7">
        <f>IF($A57="","",IFERROR(INDEX(Treatment_Entry!$AC$5:$AC$104,MATCH($A57,Treatment_Entry!$A$5:$A$104,0)),""))</f>
        <v/>
      </c>
      <c r="L57" s="6">
        <f>IF($A57="","",IFERROR(INDEX(Treatment_Entry!$AE$5:$AE$104,MATCH($A57,Treatment_Entry!$A$5:$A$104,0)),""))</f>
        <v/>
      </c>
      <c r="M57" s="8">
        <f>IF($A57="","",IF(AND($E57="Not done",OR($C57="High",$C57="Very High / Locally Advanced",LEFT($C57,2)="M1")),1,0))</f>
        <v/>
      </c>
      <c r="N57" s="8">
        <f>IF($A57="","",IF(AND($F57="Not done",OR($C57="High",$C57="Very High / Locally Advanced")),1,0))</f>
        <v/>
      </c>
      <c r="O57" s="8">
        <f>IF($A57="","",IF($G57="Not started",1,0))</f>
        <v/>
      </c>
      <c r="P57" s="8">
        <f>IF($A57="","",IF($H57="Not done",1,0))</f>
        <v/>
      </c>
      <c r="Q57" s="8">
        <f>IF($A57="","",IF($I57="Not done",1,0))</f>
        <v/>
      </c>
      <c r="R57" s="8">
        <f>IF($A57="","",IF(AND($D57="Hormone-sensitive (HSPC)",$C57="High",$J57="Not initiated"),1,0))</f>
        <v/>
      </c>
      <c r="S57" s="8">
        <f>IF($A57="","",IF($K57="",1,0))</f>
        <v/>
      </c>
      <c r="T57" s="8">
        <f>IF($A57="","",IF(OR($L57="",$L57="Not done"),1,0))</f>
        <v/>
      </c>
      <c r="U57" s="8">
        <f>IF($A57="","",SUM($M57:$O57))</f>
        <v/>
      </c>
      <c r="V57" s="8">
        <f>IF($A57="","",SUM($P57:$R57))</f>
        <v/>
      </c>
      <c r="W57" s="8">
        <f>IF($A57="","",SUM($S57:$T57))</f>
        <v/>
      </c>
      <c r="X57" s="8">
        <f>IF($A57="","",SUM($U57:$W57))</f>
        <v/>
      </c>
      <c r="Y57" s="6">
        <f>IF($A57="","",IF($U57&gt;0,"Urgent",IF($V57&gt;0,"Warning",IF($W57&gt;0,"Info","Closed"))))</f>
        <v/>
      </c>
      <c r="Z57" s="6">
        <f>IF($A57="","",IF($M57=1,"Complete bone scan / SPECT",IF($N57=1,"Complete PSMA PET-CT",IF($O57=1,"Start bone protection plan",IF($P57=1,"Order DEXA",IF($Q57=1,"Order genomics",IF($R57=1,"Review ARSI intensification",IF($S57=1,"Schedule follow-up PSA",IF($T57=1,"Document psychosocial screening","No open gap")))))))))</f>
        <v/>
      </c>
      <c r="AA57" s="6">
        <f>IF($A57="","",IF($X57=0,"No open care gaps",$Y57&amp;" priority · "&amp;$Z57))</f>
        <v/>
      </c>
    </row>
    <row r="58">
      <c r="A58" s="6">
        <f>IF(Demographics_Entry!$A58="","",Demographics_Entry!$A58)</f>
        <v/>
      </c>
      <c r="B58" s="6">
        <f>IF($A58="","",IFERROR(INDEX(Demographics_Entry!$E$5:$E$104,MATCH($A58,Demographics_Entry!$A$5:$A$104,0)),""))</f>
        <v/>
      </c>
      <c r="C58" s="6">
        <f>IF($A58="","",IFERROR(INDEX(Clinical_Entry!$U$5:$U$104,MATCH($A58,Clinical_Entry!$A$5:$A$104,0)),""))</f>
        <v/>
      </c>
      <c r="D58" s="6">
        <f>IF($A58="","",IFERROR(INDEX(Clinical_Entry!$W$5:$W$104,MATCH($A58,Clinical_Entry!$A$5:$A$104,0)),""))</f>
        <v/>
      </c>
      <c r="E58" s="6">
        <f>IF($A58="","",IFERROR(INDEX(Clinical_Entry!$Y$5:$Y$104,MATCH($A58,Clinical_Entry!$A$5:$A$104,0)),""))</f>
        <v/>
      </c>
      <c r="F58" s="6">
        <f>IF($A58="","",IFERROR(INDEX(Clinical_Entry!$Z$5:$Z$104,MATCH($A58,Clinical_Entry!$A$5:$A$104,0)),""))</f>
        <v/>
      </c>
      <c r="G58" s="6">
        <f>IF($A58="","",IFERROR(INDEX(Treatment_Entry!$AA$5:$AA$104,MATCH($A58,Treatment_Entry!$A$5:$A$104,0)),""))</f>
        <v/>
      </c>
      <c r="H58" s="6">
        <f>IF($A58="","",IFERROR(INDEX(Clinical_Entry!$AB$5:$AB$104,MATCH($A58,Clinical_Entry!$A$5:$A$104,0)),""))</f>
        <v/>
      </c>
      <c r="I58" s="6">
        <f>IF($A58="","",IFERROR(INDEX(Clinical_Entry!$AC$5:$AC$104,MATCH($A58,Clinical_Entry!$A$5:$A$104,0)),""))</f>
        <v/>
      </c>
      <c r="J58" s="6">
        <f>IF($A58="","",IFERROR(INDEX(Treatment_Entry!$K$5:$K$104,MATCH($A58,Treatment_Entry!$A$5:$A$104,0)),""))</f>
        <v/>
      </c>
      <c r="K58" s="7">
        <f>IF($A58="","",IFERROR(INDEX(Treatment_Entry!$AC$5:$AC$104,MATCH($A58,Treatment_Entry!$A$5:$A$104,0)),""))</f>
        <v/>
      </c>
      <c r="L58" s="6">
        <f>IF($A58="","",IFERROR(INDEX(Treatment_Entry!$AE$5:$AE$104,MATCH($A58,Treatment_Entry!$A$5:$A$104,0)),""))</f>
        <v/>
      </c>
      <c r="M58" s="8">
        <f>IF($A58="","",IF(AND($E58="Not done",OR($C58="High",$C58="Very High / Locally Advanced",LEFT($C58,2)="M1")),1,0))</f>
        <v/>
      </c>
      <c r="N58" s="8">
        <f>IF($A58="","",IF(AND($F58="Not done",OR($C58="High",$C58="Very High / Locally Advanced")),1,0))</f>
        <v/>
      </c>
      <c r="O58" s="8">
        <f>IF($A58="","",IF($G58="Not started",1,0))</f>
        <v/>
      </c>
      <c r="P58" s="8">
        <f>IF($A58="","",IF($H58="Not done",1,0))</f>
        <v/>
      </c>
      <c r="Q58" s="8">
        <f>IF($A58="","",IF($I58="Not done",1,0))</f>
        <v/>
      </c>
      <c r="R58" s="8">
        <f>IF($A58="","",IF(AND($D58="Hormone-sensitive (HSPC)",$C58="High",$J58="Not initiated"),1,0))</f>
        <v/>
      </c>
      <c r="S58" s="8">
        <f>IF($A58="","",IF($K58="",1,0))</f>
        <v/>
      </c>
      <c r="T58" s="8">
        <f>IF($A58="","",IF(OR($L58="",$L58="Not done"),1,0))</f>
        <v/>
      </c>
      <c r="U58" s="8">
        <f>IF($A58="","",SUM($M58:$O58))</f>
        <v/>
      </c>
      <c r="V58" s="8">
        <f>IF($A58="","",SUM($P58:$R58))</f>
        <v/>
      </c>
      <c r="W58" s="8">
        <f>IF($A58="","",SUM($S58:$T58))</f>
        <v/>
      </c>
      <c r="X58" s="8">
        <f>IF($A58="","",SUM($U58:$W58))</f>
        <v/>
      </c>
      <c r="Y58" s="6">
        <f>IF($A58="","",IF($U58&gt;0,"Urgent",IF($V58&gt;0,"Warning",IF($W58&gt;0,"Info","Closed"))))</f>
        <v/>
      </c>
      <c r="Z58" s="6">
        <f>IF($A58="","",IF($M58=1,"Complete bone scan / SPECT",IF($N58=1,"Complete PSMA PET-CT",IF($O58=1,"Start bone protection plan",IF($P58=1,"Order DEXA",IF($Q58=1,"Order genomics",IF($R58=1,"Review ARSI intensification",IF($S58=1,"Schedule follow-up PSA",IF($T58=1,"Document psychosocial screening","No open gap")))))))))</f>
        <v/>
      </c>
      <c r="AA58" s="6">
        <f>IF($A58="","",IF($X58=0,"No open care gaps",$Y58&amp;" priority · "&amp;$Z58))</f>
        <v/>
      </c>
    </row>
    <row r="59">
      <c r="A59" s="6">
        <f>IF(Demographics_Entry!$A59="","",Demographics_Entry!$A59)</f>
        <v/>
      </c>
      <c r="B59" s="6">
        <f>IF($A59="","",IFERROR(INDEX(Demographics_Entry!$E$5:$E$104,MATCH($A59,Demographics_Entry!$A$5:$A$104,0)),""))</f>
        <v/>
      </c>
      <c r="C59" s="6">
        <f>IF($A59="","",IFERROR(INDEX(Clinical_Entry!$U$5:$U$104,MATCH($A59,Clinical_Entry!$A$5:$A$104,0)),""))</f>
        <v/>
      </c>
      <c r="D59" s="6">
        <f>IF($A59="","",IFERROR(INDEX(Clinical_Entry!$W$5:$W$104,MATCH($A59,Clinical_Entry!$A$5:$A$104,0)),""))</f>
        <v/>
      </c>
      <c r="E59" s="6">
        <f>IF($A59="","",IFERROR(INDEX(Clinical_Entry!$Y$5:$Y$104,MATCH($A59,Clinical_Entry!$A$5:$A$104,0)),""))</f>
        <v/>
      </c>
      <c r="F59" s="6">
        <f>IF($A59="","",IFERROR(INDEX(Clinical_Entry!$Z$5:$Z$104,MATCH($A59,Clinical_Entry!$A$5:$A$104,0)),""))</f>
        <v/>
      </c>
      <c r="G59" s="6">
        <f>IF($A59="","",IFERROR(INDEX(Treatment_Entry!$AA$5:$AA$104,MATCH($A59,Treatment_Entry!$A$5:$A$104,0)),""))</f>
        <v/>
      </c>
      <c r="H59" s="6">
        <f>IF($A59="","",IFERROR(INDEX(Clinical_Entry!$AB$5:$AB$104,MATCH($A59,Clinical_Entry!$A$5:$A$104,0)),""))</f>
        <v/>
      </c>
      <c r="I59" s="6">
        <f>IF($A59="","",IFERROR(INDEX(Clinical_Entry!$AC$5:$AC$104,MATCH($A59,Clinical_Entry!$A$5:$A$104,0)),""))</f>
        <v/>
      </c>
      <c r="J59" s="6">
        <f>IF($A59="","",IFERROR(INDEX(Treatment_Entry!$K$5:$K$104,MATCH($A59,Treatment_Entry!$A$5:$A$104,0)),""))</f>
        <v/>
      </c>
      <c r="K59" s="7">
        <f>IF($A59="","",IFERROR(INDEX(Treatment_Entry!$AC$5:$AC$104,MATCH($A59,Treatment_Entry!$A$5:$A$104,0)),""))</f>
        <v/>
      </c>
      <c r="L59" s="6">
        <f>IF($A59="","",IFERROR(INDEX(Treatment_Entry!$AE$5:$AE$104,MATCH($A59,Treatment_Entry!$A$5:$A$104,0)),""))</f>
        <v/>
      </c>
      <c r="M59" s="8">
        <f>IF($A59="","",IF(AND($E59="Not done",OR($C59="High",$C59="Very High / Locally Advanced",LEFT($C59,2)="M1")),1,0))</f>
        <v/>
      </c>
      <c r="N59" s="8">
        <f>IF($A59="","",IF(AND($F59="Not done",OR($C59="High",$C59="Very High / Locally Advanced")),1,0))</f>
        <v/>
      </c>
      <c r="O59" s="8">
        <f>IF($A59="","",IF($G59="Not started",1,0))</f>
        <v/>
      </c>
      <c r="P59" s="8">
        <f>IF($A59="","",IF($H59="Not done",1,0))</f>
        <v/>
      </c>
      <c r="Q59" s="8">
        <f>IF($A59="","",IF($I59="Not done",1,0))</f>
        <v/>
      </c>
      <c r="R59" s="8">
        <f>IF($A59="","",IF(AND($D59="Hormone-sensitive (HSPC)",$C59="High",$J59="Not initiated"),1,0))</f>
        <v/>
      </c>
      <c r="S59" s="8">
        <f>IF($A59="","",IF($K59="",1,0))</f>
        <v/>
      </c>
      <c r="T59" s="8">
        <f>IF($A59="","",IF(OR($L59="",$L59="Not done"),1,0))</f>
        <v/>
      </c>
      <c r="U59" s="8">
        <f>IF($A59="","",SUM($M59:$O59))</f>
        <v/>
      </c>
      <c r="V59" s="8">
        <f>IF($A59="","",SUM($P59:$R59))</f>
        <v/>
      </c>
      <c r="W59" s="8">
        <f>IF($A59="","",SUM($S59:$T59))</f>
        <v/>
      </c>
      <c r="X59" s="8">
        <f>IF($A59="","",SUM($U59:$W59))</f>
        <v/>
      </c>
      <c r="Y59" s="6">
        <f>IF($A59="","",IF($U59&gt;0,"Urgent",IF($V59&gt;0,"Warning",IF($W59&gt;0,"Info","Closed"))))</f>
        <v/>
      </c>
      <c r="Z59" s="6">
        <f>IF($A59="","",IF($M59=1,"Complete bone scan / SPECT",IF($N59=1,"Complete PSMA PET-CT",IF($O59=1,"Start bone protection plan",IF($P59=1,"Order DEXA",IF($Q59=1,"Order genomics",IF($R59=1,"Review ARSI intensification",IF($S59=1,"Schedule follow-up PSA",IF($T59=1,"Document psychosocial screening","No open gap")))))))))</f>
        <v/>
      </c>
      <c r="AA59" s="6">
        <f>IF($A59="","",IF($X59=0,"No open care gaps",$Y59&amp;" priority · "&amp;$Z59))</f>
        <v/>
      </c>
    </row>
    <row r="60">
      <c r="A60" s="6">
        <f>IF(Demographics_Entry!$A60="","",Demographics_Entry!$A60)</f>
        <v/>
      </c>
      <c r="B60" s="6">
        <f>IF($A60="","",IFERROR(INDEX(Demographics_Entry!$E$5:$E$104,MATCH($A60,Demographics_Entry!$A$5:$A$104,0)),""))</f>
        <v/>
      </c>
      <c r="C60" s="6">
        <f>IF($A60="","",IFERROR(INDEX(Clinical_Entry!$U$5:$U$104,MATCH($A60,Clinical_Entry!$A$5:$A$104,0)),""))</f>
        <v/>
      </c>
      <c r="D60" s="6">
        <f>IF($A60="","",IFERROR(INDEX(Clinical_Entry!$W$5:$W$104,MATCH($A60,Clinical_Entry!$A$5:$A$104,0)),""))</f>
        <v/>
      </c>
      <c r="E60" s="6">
        <f>IF($A60="","",IFERROR(INDEX(Clinical_Entry!$Y$5:$Y$104,MATCH($A60,Clinical_Entry!$A$5:$A$104,0)),""))</f>
        <v/>
      </c>
      <c r="F60" s="6">
        <f>IF($A60="","",IFERROR(INDEX(Clinical_Entry!$Z$5:$Z$104,MATCH($A60,Clinical_Entry!$A$5:$A$104,0)),""))</f>
        <v/>
      </c>
      <c r="G60" s="6">
        <f>IF($A60="","",IFERROR(INDEX(Treatment_Entry!$AA$5:$AA$104,MATCH($A60,Treatment_Entry!$A$5:$A$104,0)),""))</f>
        <v/>
      </c>
      <c r="H60" s="6">
        <f>IF($A60="","",IFERROR(INDEX(Clinical_Entry!$AB$5:$AB$104,MATCH($A60,Clinical_Entry!$A$5:$A$104,0)),""))</f>
        <v/>
      </c>
      <c r="I60" s="6">
        <f>IF($A60="","",IFERROR(INDEX(Clinical_Entry!$AC$5:$AC$104,MATCH($A60,Clinical_Entry!$A$5:$A$104,0)),""))</f>
        <v/>
      </c>
      <c r="J60" s="6">
        <f>IF($A60="","",IFERROR(INDEX(Treatment_Entry!$K$5:$K$104,MATCH($A60,Treatment_Entry!$A$5:$A$104,0)),""))</f>
        <v/>
      </c>
      <c r="K60" s="7">
        <f>IF($A60="","",IFERROR(INDEX(Treatment_Entry!$AC$5:$AC$104,MATCH($A60,Treatment_Entry!$A$5:$A$104,0)),""))</f>
        <v/>
      </c>
      <c r="L60" s="6">
        <f>IF($A60="","",IFERROR(INDEX(Treatment_Entry!$AE$5:$AE$104,MATCH($A60,Treatment_Entry!$A$5:$A$104,0)),""))</f>
        <v/>
      </c>
      <c r="M60" s="8">
        <f>IF($A60="","",IF(AND($E60="Not done",OR($C60="High",$C60="Very High / Locally Advanced",LEFT($C60,2)="M1")),1,0))</f>
        <v/>
      </c>
      <c r="N60" s="8">
        <f>IF($A60="","",IF(AND($F60="Not done",OR($C60="High",$C60="Very High / Locally Advanced")),1,0))</f>
        <v/>
      </c>
      <c r="O60" s="8">
        <f>IF($A60="","",IF($G60="Not started",1,0))</f>
        <v/>
      </c>
      <c r="P60" s="8">
        <f>IF($A60="","",IF($H60="Not done",1,0))</f>
        <v/>
      </c>
      <c r="Q60" s="8">
        <f>IF($A60="","",IF($I60="Not done",1,0))</f>
        <v/>
      </c>
      <c r="R60" s="8">
        <f>IF($A60="","",IF(AND($D60="Hormone-sensitive (HSPC)",$C60="High",$J60="Not initiated"),1,0))</f>
        <v/>
      </c>
      <c r="S60" s="8">
        <f>IF($A60="","",IF($K60="",1,0))</f>
        <v/>
      </c>
      <c r="T60" s="8">
        <f>IF($A60="","",IF(OR($L60="",$L60="Not done"),1,0))</f>
        <v/>
      </c>
      <c r="U60" s="8">
        <f>IF($A60="","",SUM($M60:$O60))</f>
        <v/>
      </c>
      <c r="V60" s="8">
        <f>IF($A60="","",SUM($P60:$R60))</f>
        <v/>
      </c>
      <c r="W60" s="8">
        <f>IF($A60="","",SUM($S60:$T60))</f>
        <v/>
      </c>
      <c r="X60" s="8">
        <f>IF($A60="","",SUM($U60:$W60))</f>
        <v/>
      </c>
      <c r="Y60" s="6">
        <f>IF($A60="","",IF($U60&gt;0,"Urgent",IF($V60&gt;0,"Warning",IF($W60&gt;0,"Info","Closed"))))</f>
        <v/>
      </c>
      <c r="Z60" s="6">
        <f>IF($A60="","",IF($M60=1,"Complete bone scan / SPECT",IF($N60=1,"Complete PSMA PET-CT",IF($O60=1,"Start bone protection plan",IF($P60=1,"Order DEXA",IF($Q60=1,"Order genomics",IF($R60=1,"Review ARSI intensification",IF($S60=1,"Schedule follow-up PSA",IF($T60=1,"Document psychosocial screening","No open gap")))))))))</f>
        <v/>
      </c>
      <c r="AA60" s="6">
        <f>IF($A60="","",IF($X60=0,"No open care gaps",$Y60&amp;" priority · "&amp;$Z60))</f>
        <v/>
      </c>
    </row>
    <row r="61">
      <c r="A61" s="6">
        <f>IF(Demographics_Entry!$A61="","",Demographics_Entry!$A61)</f>
        <v/>
      </c>
      <c r="B61" s="6">
        <f>IF($A61="","",IFERROR(INDEX(Demographics_Entry!$E$5:$E$104,MATCH($A61,Demographics_Entry!$A$5:$A$104,0)),""))</f>
        <v/>
      </c>
      <c r="C61" s="6">
        <f>IF($A61="","",IFERROR(INDEX(Clinical_Entry!$U$5:$U$104,MATCH($A61,Clinical_Entry!$A$5:$A$104,0)),""))</f>
        <v/>
      </c>
      <c r="D61" s="6">
        <f>IF($A61="","",IFERROR(INDEX(Clinical_Entry!$W$5:$W$104,MATCH($A61,Clinical_Entry!$A$5:$A$104,0)),""))</f>
        <v/>
      </c>
      <c r="E61" s="6">
        <f>IF($A61="","",IFERROR(INDEX(Clinical_Entry!$Y$5:$Y$104,MATCH($A61,Clinical_Entry!$A$5:$A$104,0)),""))</f>
        <v/>
      </c>
      <c r="F61" s="6">
        <f>IF($A61="","",IFERROR(INDEX(Clinical_Entry!$Z$5:$Z$104,MATCH($A61,Clinical_Entry!$A$5:$A$104,0)),""))</f>
        <v/>
      </c>
      <c r="G61" s="6">
        <f>IF($A61="","",IFERROR(INDEX(Treatment_Entry!$AA$5:$AA$104,MATCH($A61,Treatment_Entry!$A$5:$A$104,0)),""))</f>
        <v/>
      </c>
      <c r="H61" s="6">
        <f>IF($A61="","",IFERROR(INDEX(Clinical_Entry!$AB$5:$AB$104,MATCH($A61,Clinical_Entry!$A$5:$A$104,0)),""))</f>
        <v/>
      </c>
      <c r="I61" s="6">
        <f>IF($A61="","",IFERROR(INDEX(Clinical_Entry!$AC$5:$AC$104,MATCH($A61,Clinical_Entry!$A$5:$A$104,0)),""))</f>
        <v/>
      </c>
      <c r="J61" s="6">
        <f>IF($A61="","",IFERROR(INDEX(Treatment_Entry!$K$5:$K$104,MATCH($A61,Treatment_Entry!$A$5:$A$104,0)),""))</f>
        <v/>
      </c>
      <c r="K61" s="7">
        <f>IF($A61="","",IFERROR(INDEX(Treatment_Entry!$AC$5:$AC$104,MATCH($A61,Treatment_Entry!$A$5:$A$104,0)),""))</f>
        <v/>
      </c>
      <c r="L61" s="6">
        <f>IF($A61="","",IFERROR(INDEX(Treatment_Entry!$AE$5:$AE$104,MATCH($A61,Treatment_Entry!$A$5:$A$104,0)),""))</f>
        <v/>
      </c>
      <c r="M61" s="8">
        <f>IF($A61="","",IF(AND($E61="Not done",OR($C61="High",$C61="Very High / Locally Advanced",LEFT($C61,2)="M1")),1,0))</f>
        <v/>
      </c>
      <c r="N61" s="8">
        <f>IF($A61="","",IF(AND($F61="Not done",OR($C61="High",$C61="Very High / Locally Advanced")),1,0))</f>
        <v/>
      </c>
      <c r="O61" s="8">
        <f>IF($A61="","",IF($G61="Not started",1,0))</f>
        <v/>
      </c>
      <c r="P61" s="8">
        <f>IF($A61="","",IF($H61="Not done",1,0))</f>
        <v/>
      </c>
      <c r="Q61" s="8">
        <f>IF($A61="","",IF($I61="Not done",1,0))</f>
        <v/>
      </c>
      <c r="R61" s="8">
        <f>IF($A61="","",IF(AND($D61="Hormone-sensitive (HSPC)",$C61="High",$J61="Not initiated"),1,0))</f>
        <v/>
      </c>
      <c r="S61" s="8">
        <f>IF($A61="","",IF($K61="",1,0))</f>
        <v/>
      </c>
      <c r="T61" s="8">
        <f>IF($A61="","",IF(OR($L61="",$L61="Not done"),1,0))</f>
        <v/>
      </c>
      <c r="U61" s="8">
        <f>IF($A61="","",SUM($M61:$O61))</f>
        <v/>
      </c>
      <c r="V61" s="8">
        <f>IF($A61="","",SUM($P61:$R61))</f>
        <v/>
      </c>
      <c r="W61" s="8">
        <f>IF($A61="","",SUM($S61:$T61))</f>
        <v/>
      </c>
      <c r="X61" s="8">
        <f>IF($A61="","",SUM($U61:$W61))</f>
        <v/>
      </c>
      <c r="Y61" s="6">
        <f>IF($A61="","",IF($U61&gt;0,"Urgent",IF($V61&gt;0,"Warning",IF($W61&gt;0,"Info","Closed"))))</f>
        <v/>
      </c>
      <c r="Z61" s="6">
        <f>IF($A61="","",IF($M61=1,"Complete bone scan / SPECT",IF($N61=1,"Complete PSMA PET-CT",IF($O61=1,"Start bone protection plan",IF($P61=1,"Order DEXA",IF($Q61=1,"Order genomics",IF($R61=1,"Review ARSI intensification",IF($S61=1,"Schedule follow-up PSA",IF($T61=1,"Document psychosocial screening","No open gap")))))))))</f>
        <v/>
      </c>
      <c r="AA61" s="6">
        <f>IF($A61="","",IF($X61=0,"No open care gaps",$Y61&amp;" priority · "&amp;$Z61))</f>
        <v/>
      </c>
    </row>
    <row r="62">
      <c r="A62" s="6">
        <f>IF(Demographics_Entry!$A62="","",Demographics_Entry!$A62)</f>
        <v/>
      </c>
      <c r="B62" s="6">
        <f>IF($A62="","",IFERROR(INDEX(Demographics_Entry!$E$5:$E$104,MATCH($A62,Demographics_Entry!$A$5:$A$104,0)),""))</f>
        <v/>
      </c>
      <c r="C62" s="6">
        <f>IF($A62="","",IFERROR(INDEX(Clinical_Entry!$U$5:$U$104,MATCH($A62,Clinical_Entry!$A$5:$A$104,0)),""))</f>
        <v/>
      </c>
      <c r="D62" s="6">
        <f>IF($A62="","",IFERROR(INDEX(Clinical_Entry!$W$5:$W$104,MATCH($A62,Clinical_Entry!$A$5:$A$104,0)),""))</f>
        <v/>
      </c>
      <c r="E62" s="6">
        <f>IF($A62="","",IFERROR(INDEX(Clinical_Entry!$Y$5:$Y$104,MATCH($A62,Clinical_Entry!$A$5:$A$104,0)),""))</f>
        <v/>
      </c>
      <c r="F62" s="6">
        <f>IF($A62="","",IFERROR(INDEX(Clinical_Entry!$Z$5:$Z$104,MATCH($A62,Clinical_Entry!$A$5:$A$104,0)),""))</f>
        <v/>
      </c>
      <c r="G62" s="6">
        <f>IF($A62="","",IFERROR(INDEX(Treatment_Entry!$AA$5:$AA$104,MATCH($A62,Treatment_Entry!$A$5:$A$104,0)),""))</f>
        <v/>
      </c>
      <c r="H62" s="6">
        <f>IF($A62="","",IFERROR(INDEX(Clinical_Entry!$AB$5:$AB$104,MATCH($A62,Clinical_Entry!$A$5:$A$104,0)),""))</f>
        <v/>
      </c>
      <c r="I62" s="6">
        <f>IF($A62="","",IFERROR(INDEX(Clinical_Entry!$AC$5:$AC$104,MATCH($A62,Clinical_Entry!$A$5:$A$104,0)),""))</f>
        <v/>
      </c>
      <c r="J62" s="6">
        <f>IF($A62="","",IFERROR(INDEX(Treatment_Entry!$K$5:$K$104,MATCH($A62,Treatment_Entry!$A$5:$A$104,0)),""))</f>
        <v/>
      </c>
      <c r="K62" s="7">
        <f>IF($A62="","",IFERROR(INDEX(Treatment_Entry!$AC$5:$AC$104,MATCH($A62,Treatment_Entry!$A$5:$A$104,0)),""))</f>
        <v/>
      </c>
      <c r="L62" s="6">
        <f>IF($A62="","",IFERROR(INDEX(Treatment_Entry!$AE$5:$AE$104,MATCH($A62,Treatment_Entry!$A$5:$A$104,0)),""))</f>
        <v/>
      </c>
      <c r="M62" s="8">
        <f>IF($A62="","",IF(AND($E62="Not done",OR($C62="High",$C62="Very High / Locally Advanced",LEFT($C62,2)="M1")),1,0))</f>
        <v/>
      </c>
      <c r="N62" s="8">
        <f>IF($A62="","",IF(AND($F62="Not done",OR($C62="High",$C62="Very High / Locally Advanced")),1,0))</f>
        <v/>
      </c>
      <c r="O62" s="8">
        <f>IF($A62="","",IF($G62="Not started",1,0))</f>
        <v/>
      </c>
      <c r="P62" s="8">
        <f>IF($A62="","",IF($H62="Not done",1,0))</f>
        <v/>
      </c>
      <c r="Q62" s="8">
        <f>IF($A62="","",IF($I62="Not done",1,0))</f>
        <v/>
      </c>
      <c r="R62" s="8">
        <f>IF($A62="","",IF(AND($D62="Hormone-sensitive (HSPC)",$C62="High",$J62="Not initiated"),1,0))</f>
        <v/>
      </c>
      <c r="S62" s="8">
        <f>IF($A62="","",IF($K62="",1,0))</f>
        <v/>
      </c>
      <c r="T62" s="8">
        <f>IF($A62="","",IF(OR($L62="",$L62="Not done"),1,0))</f>
        <v/>
      </c>
      <c r="U62" s="8">
        <f>IF($A62="","",SUM($M62:$O62))</f>
        <v/>
      </c>
      <c r="V62" s="8">
        <f>IF($A62="","",SUM($P62:$R62))</f>
        <v/>
      </c>
      <c r="W62" s="8">
        <f>IF($A62="","",SUM($S62:$T62))</f>
        <v/>
      </c>
      <c r="X62" s="8">
        <f>IF($A62="","",SUM($U62:$W62))</f>
        <v/>
      </c>
      <c r="Y62" s="6">
        <f>IF($A62="","",IF($U62&gt;0,"Urgent",IF($V62&gt;0,"Warning",IF($W62&gt;0,"Info","Closed"))))</f>
        <v/>
      </c>
      <c r="Z62" s="6">
        <f>IF($A62="","",IF($M62=1,"Complete bone scan / SPECT",IF($N62=1,"Complete PSMA PET-CT",IF($O62=1,"Start bone protection plan",IF($P62=1,"Order DEXA",IF($Q62=1,"Order genomics",IF($R62=1,"Review ARSI intensification",IF($S62=1,"Schedule follow-up PSA",IF($T62=1,"Document psychosocial screening","No open gap")))))))))</f>
        <v/>
      </c>
      <c r="AA62" s="6">
        <f>IF($A62="","",IF($X62=0,"No open care gaps",$Y62&amp;" priority · "&amp;$Z62))</f>
        <v/>
      </c>
    </row>
    <row r="63">
      <c r="A63" s="6">
        <f>IF(Demographics_Entry!$A63="","",Demographics_Entry!$A63)</f>
        <v/>
      </c>
      <c r="B63" s="6">
        <f>IF($A63="","",IFERROR(INDEX(Demographics_Entry!$E$5:$E$104,MATCH($A63,Demographics_Entry!$A$5:$A$104,0)),""))</f>
        <v/>
      </c>
      <c r="C63" s="6">
        <f>IF($A63="","",IFERROR(INDEX(Clinical_Entry!$U$5:$U$104,MATCH($A63,Clinical_Entry!$A$5:$A$104,0)),""))</f>
        <v/>
      </c>
      <c r="D63" s="6">
        <f>IF($A63="","",IFERROR(INDEX(Clinical_Entry!$W$5:$W$104,MATCH($A63,Clinical_Entry!$A$5:$A$104,0)),""))</f>
        <v/>
      </c>
      <c r="E63" s="6">
        <f>IF($A63="","",IFERROR(INDEX(Clinical_Entry!$Y$5:$Y$104,MATCH($A63,Clinical_Entry!$A$5:$A$104,0)),""))</f>
        <v/>
      </c>
      <c r="F63" s="6">
        <f>IF($A63="","",IFERROR(INDEX(Clinical_Entry!$Z$5:$Z$104,MATCH($A63,Clinical_Entry!$A$5:$A$104,0)),""))</f>
        <v/>
      </c>
      <c r="G63" s="6">
        <f>IF($A63="","",IFERROR(INDEX(Treatment_Entry!$AA$5:$AA$104,MATCH($A63,Treatment_Entry!$A$5:$A$104,0)),""))</f>
        <v/>
      </c>
      <c r="H63" s="6">
        <f>IF($A63="","",IFERROR(INDEX(Clinical_Entry!$AB$5:$AB$104,MATCH($A63,Clinical_Entry!$A$5:$A$104,0)),""))</f>
        <v/>
      </c>
      <c r="I63" s="6">
        <f>IF($A63="","",IFERROR(INDEX(Clinical_Entry!$AC$5:$AC$104,MATCH($A63,Clinical_Entry!$A$5:$A$104,0)),""))</f>
        <v/>
      </c>
      <c r="J63" s="6">
        <f>IF($A63="","",IFERROR(INDEX(Treatment_Entry!$K$5:$K$104,MATCH($A63,Treatment_Entry!$A$5:$A$104,0)),""))</f>
        <v/>
      </c>
      <c r="K63" s="7">
        <f>IF($A63="","",IFERROR(INDEX(Treatment_Entry!$AC$5:$AC$104,MATCH($A63,Treatment_Entry!$A$5:$A$104,0)),""))</f>
        <v/>
      </c>
      <c r="L63" s="6">
        <f>IF($A63="","",IFERROR(INDEX(Treatment_Entry!$AE$5:$AE$104,MATCH($A63,Treatment_Entry!$A$5:$A$104,0)),""))</f>
        <v/>
      </c>
      <c r="M63" s="8">
        <f>IF($A63="","",IF(AND($E63="Not done",OR($C63="High",$C63="Very High / Locally Advanced",LEFT($C63,2)="M1")),1,0))</f>
        <v/>
      </c>
      <c r="N63" s="8">
        <f>IF($A63="","",IF(AND($F63="Not done",OR($C63="High",$C63="Very High / Locally Advanced")),1,0))</f>
        <v/>
      </c>
      <c r="O63" s="8">
        <f>IF($A63="","",IF($G63="Not started",1,0))</f>
        <v/>
      </c>
      <c r="P63" s="8">
        <f>IF($A63="","",IF($H63="Not done",1,0))</f>
        <v/>
      </c>
      <c r="Q63" s="8">
        <f>IF($A63="","",IF($I63="Not done",1,0))</f>
        <v/>
      </c>
      <c r="R63" s="8">
        <f>IF($A63="","",IF(AND($D63="Hormone-sensitive (HSPC)",$C63="High",$J63="Not initiated"),1,0))</f>
        <v/>
      </c>
      <c r="S63" s="8">
        <f>IF($A63="","",IF($K63="",1,0))</f>
        <v/>
      </c>
      <c r="T63" s="8">
        <f>IF($A63="","",IF(OR($L63="",$L63="Not done"),1,0))</f>
        <v/>
      </c>
      <c r="U63" s="8">
        <f>IF($A63="","",SUM($M63:$O63))</f>
        <v/>
      </c>
      <c r="V63" s="8">
        <f>IF($A63="","",SUM($P63:$R63))</f>
        <v/>
      </c>
      <c r="W63" s="8">
        <f>IF($A63="","",SUM($S63:$T63))</f>
        <v/>
      </c>
      <c r="X63" s="8">
        <f>IF($A63="","",SUM($U63:$W63))</f>
        <v/>
      </c>
      <c r="Y63" s="6">
        <f>IF($A63="","",IF($U63&gt;0,"Urgent",IF($V63&gt;0,"Warning",IF($W63&gt;0,"Info","Closed"))))</f>
        <v/>
      </c>
      <c r="Z63" s="6">
        <f>IF($A63="","",IF($M63=1,"Complete bone scan / SPECT",IF($N63=1,"Complete PSMA PET-CT",IF($O63=1,"Start bone protection plan",IF($P63=1,"Order DEXA",IF($Q63=1,"Order genomics",IF($R63=1,"Review ARSI intensification",IF($S63=1,"Schedule follow-up PSA",IF($T63=1,"Document psychosocial screening","No open gap")))))))))</f>
        <v/>
      </c>
      <c r="AA63" s="6">
        <f>IF($A63="","",IF($X63=0,"No open care gaps",$Y63&amp;" priority · "&amp;$Z63))</f>
        <v/>
      </c>
    </row>
    <row r="64">
      <c r="A64" s="6">
        <f>IF(Demographics_Entry!$A64="","",Demographics_Entry!$A64)</f>
        <v/>
      </c>
      <c r="B64" s="6">
        <f>IF($A64="","",IFERROR(INDEX(Demographics_Entry!$E$5:$E$104,MATCH($A64,Demographics_Entry!$A$5:$A$104,0)),""))</f>
        <v/>
      </c>
      <c r="C64" s="6">
        <f>IF($A64="","",IFERROR(INDEX(Clinical_Entry!$U$5:$U$104,MATCH($A64,Clinical_Entry!$A$5:$A$104,0)),""))</f>
        <v/>
      </c>
      <c r="D64" s="6">
        <f>IF($A64="","",IFERROR(INDEX(Clinical_Entry!$W$5:$W$104,MATCH($A64,Clinical_Entry!$A$5:$A$104,0)),""))</f>
        <v/>
      </c>
      <c r="E64" s="6">
        <f>IF($A64="","",IFERROR(INDEX(Clinical_Entry!$Y$5:$Y$104,MATCH($A64,Clinical_Entry!$A$5:$A$104,0)),""))</f>
        <v/>
      </c>
      <c r="F64" s="6">
        <f>IF($A64="","",IFERROR(INDEX(Clinical_Entry!$Z$5:$Z$104,MATCH($A64,Clinical_Entry!$A$5:$A$104,0)),""))</f>
        <v/>
      </c>
      <c r="G64" s="6">
        <f>IF($A64="","",IFERROR(INDEX(Treatment_Entry!$AA$5:$AA$104,MATCH($A64,Treatment_Entry!$A$5:$A$104,0)),""))</f>
        <v/>
      </c>
      <c r="H64" s="6">
        <f>IF($A64="","",IFERROR(INDEX(Clinical_Entry!$AB$5:$AB$104,MATCH($A64,Clinical_Entry!$A$5:$A$104,0)),""))</f>
        <v/>
      </c>
      <c r="I64" s="6">
        <f>IF($A64="","",IFERROR(INDEX(Clinical_Entry!$AC$5:$AC$104,MATCH($A64,Clinical_Entry!$A$5:$A$104,0)),""))</f>
        <v/>
      </c>
      <c r="J64" s="6">
        <f>IF($A64="","",IFERROR(INDEX(Treatment_Entry!$K$5:$K$104,MATCH($A64,Treatment_Entry!$A$5:$A$104,0)),""))</f>
        <v/>
      </c>
      <c r="K64" s="7">
        <f>IF($A64="","",IFERROR(INDEX(Treatment_Entry!$AC$5:$AC$104,MATCH($A64,Treatment_Entry!$A$5:$A$104,0)),""))</f>
        <v/>
      </c>
      <c r="L64" s="6">
        <f>IF($A64="","",IFERROR(INDEX(Treatment_Entry!$AE$5:$AE$104,MATCH($A64,Treatment_Entry!$A$5:$A$104,0)),""))</f>
        <v/>
      </c>
      <c r="M64" s="8">
        <f>IF($A64="","",IF(AND($E64="Not done",OR($C64="High",$C64="Very High / Locally Advanced",LEFT($C64,2)="M1")),1,0))</f>
        <v/>
      </c>
      <c r="N64" s="8">
        <f>IF($A64="","",IF(AND($F64="Not done",OR($C64="High",$C64="Very High / Locally Advanced")),1,0))</f>
        <v/>
      </c>
      <c r="O64" s="8">
        <f>IF($A64="","",IF($G64="Not started",1,0))</f>
        <v/>
      </c>
      <c r="P64" s="8">
        <f>IF($A64="","",IF($H64="Not done",1,0))</f>
        <v/>
      </c>
      <c r="Q64" s="8">
        <f>IF($A64="","",IF($I64="Not done",1,0))</f>
        <v/>
      </c>
      <c r="R64" s="8">
        <f>IF($A64="","",IF(AND($D64="Hormone-sensitive (HSPC)",$C64="High",$J64="Not initiated"),1,0))</f>
        <v/>
      </c>
      <c r="S64" s="8">
        <f>IF($A64="","",IF($K64="",1,0))</f>
        <v/>
      </c>
      <c r="T64" s="8">
        <f>IF($A64="","",IF(OR($L64="",$L64="Not done"),1,0))</f>
        <v/>
      </c>
      <c r="U64" s="8">
        <f>IF($A64="","",SUM($M64:$O64))</f>
        <v/>
      </c>
      <c r="V64" s="8">
        <f>IF($A64="","",SUM($P64:$R64))</f>
        <v/>
      </c>
      <c r="W64" s="8">
        <f>IF($A64="","",SUM($S64:$T64))</f>
        <v/>
      </c>
      <c r="X64" s="8">
        <f>IF($A64="","",SUM($U64:$W64))</f>
        <v/>
      </c>
      <c r="Y64" s="6">
        <f>IF($A64="","",IF($U64&gt;0,"Urgent",IF($V64&gt;0,"Warning",IF($W64&gt;0,"Info","Closed"))))</f>
        <v/>
      </c>
      <c r="Z64" s="6">
        <f>IF($A64="","",IF($M64=1,"Complete bone scan / SPECT",IF($N64=1,"Complete PSMA PET-CT",IF($O64=1,"Start bone protection plan",IF($P64=1,"Order DEXA",IF($Q64=1,"Order genomics",IF($R64=1,"Review ARSI intensification",IF($S64=1,"Schedule follow-up PSA",IF($T64=1,"Document psychosocial screening","No open gap")))))))))</f>
        <v/>
      </c>
      <c r="AA64" s="6">
        <f>IF($A64="","",IF($X64=0,"No open care gaps",$Y64&amp;" priority · "&amp;$Z64))</f>
        <v/>
      </c>
    </row>
    <row r="65">
      <c r="A65" s="6">
        <f>IF(Demographics_Entry!$A65="","",Demographics_Entry!$A65)</f>
        <v/>
      </c>
      <c r="B65" s="6">
        <f>IF($A65="","",IFERROR(INDEX(Demographics_Entry!$E$5:$E$104,MATCH($A65,Demographics_Entry!$A$5:$A$104,0)),""))</f>
        <v/>
      </c>
      <c r="C65" s="6">
        <f>IF($A65="","",IFERROR(INDEX(Clinical_Entry!$U$5:$U$104,MATCH($A65,Clinical_Entry!$A$5:$A$104,0)),""))</f>
        <v/>
      </c>
      <c r="D65" s="6">
        <f>IF($A65="","",IFERROR(INDEX(Clinical_Entry!$W$5:$W$104,MATCH($A65,Clinical_Entry!$A$5:$A$104,0)),""))</f>
        <v/>
      </c>
      <c r="E65" s="6">
        <f>IF($A65="","",IFERROR(INDEX(Clinical_Entry!$Y$5:$Y$104,MATCH($A65,Clinical_Entry!$A$5:$A$104,0)),""))</f>
        <v/>
      </c>
      <c r="F65" s="6">
        <f>IF($A65="","",IFERROR(INDEX(Clinical_Entry!$Z$5:$Z$104,MATCH($A65,Clinical_Entry!$A$5:$A$104,0)),""))</f>
        <v/>
      </c>
      <c r="G65" s="6">
        <f>IF($A65="","",IFERROR(INDEX(Treatment_Entry!$AA$5:$AA$104,MATCH($A65,Treatment_Entry!$A$5:$A$104,0)),""))</f>
        <v/>
      </c>
      <c r="H65" s="6">
        <f>IF($A65="","",IFERROR(INDEX(Clinical_Entry!$AB$5:$AB$104,MATCH($A65,Clinical_Entry!$A$5:$A$104,0)),""))</f>
        <v/>
      </c>
      <c r="I65" s="6">
        <f>IF($A65="","",IFERROR(INDEX(Clinical_Entry!$AC$5:$AC$104,MATCH($A65,Clinical_Entry!$A$5:$A$104,0)),""))</f>
        <v/>
      </c>
      <c r="J65" s="6">
        <f>IF($A65="","",IFERROR(INDEX(Treatment_Entry!$K$5:$K$104,MATCH($A65,Treatment_Entry!$A$5:$A$104,0)),""))</f>
        <v/>
      </c>
      <c r="K65" s="7">
        <f>IF($A65="","",IFERROR(INDEX(Treatment_Entry!$AC$5:$AC$104,MATCH($A65,Treatment_Entry!$A$5:$A$104,0)),""))</f>
        <v/>
      </c>
      <c r="L65" s="6">
        <f>IF($A65="","",IFERROR(INDEX(Treatment_Entry!$AE$5:$AE$104,MATCH($A65,Treatment_Entry!$A$5:$A$104,0)),""))</f>
        <v/>
      </c>
      <c r="M65" s="8">
        <f>IF($A65="","",IF(AND($E65="Not done",OR($C65="High",$C65="Very High / Locally Advanced",LEFT($C65,2)="M1")),1,0))</f>
        <v/>
      </c>
      <c r="N65" s="8">
        <f>IF($A65="","",IF(AND($F65="Not done",OR($C65="High",$C65="Very High / Locally Advanced")),1,0))</f>
        <v/>
      </c>
      <c r="O65" s="8">
        <f>IF($A65="","",IF($G65="Not started",1,0))</f>
        <v/>
      </c>
      <c r="P65" s="8">
        <f>IF($A65="","",IF($H65="Not done",1,0))</f>
        <v/>
      </c>
      <c r="Q65" s="8">
        <f>IF($A65="","",IF($I65="Not done",1,0))</f>
        <v/>
      </c>
      <c r="R65" s="8">
        <f>IF($A65="","",IF(AND($D65="Hormone-sensitive (HSPC)",$C65="High",$J65="Not initiated"),1,0))</f>
        <v/>
      </c>
      <c r="S65" s="8">
        <f>IF($A65="","",IF($K65="",1,0))</f>
        <v/>
      </c>
      <c r="T65" s="8">
        <f>IF($A65="","",IF(OR($L65="",$L65="Not done"),1,0))</f>
        <v/>
      </c>
      <c r="U65" s="8">
        <f>IF($A65="","",SUM($M65:$O65))</f>
        <v/>
      </c>
      <c r="V65" s="8">
        <f>IF($A65="","",SUM($P65:$R65))</f>
        <v/>
      </c>
      <c r="W65" s="8">
        <f>IF($A65="","",SUM($S65:$T65))</f>
        <v/>
      </c>
      <c r="X65" s="8">
        <f>IF($A65="","",SUM($U65:$W65))</f>
        <v/>
      </c>
      <c r="Y65" s="6">
        <f>IF($A65="","",IF($U65&gt;0,"Urgent",IF($V65&gt;0,"Warning",IF($W65&gt;0,"Info","Closed"))))</f>
        <v/>
      </c>
      <c r="Z65" s="6">
        <f>IF($A65="","",IF($M65=1,"Complete bone scan / SPECT",IF($N65=1,"Complete PSMA PET-CT",IF($O65=1,"Start bone protection plan",IF($P65=1,"Order DEXA",IF($Q65=1,"Order genomics",IF($R65=1,"Review ARSI intensification",IF($S65=1,"Schedule follow-up PSA",IF($T65=1,"Document psychosocial screening","No open gap")))))))))</f>
        <v/>
      </c>
      <c r="AA65" s="6">
        <f>IF($A65="","",IF($X65=0,"No open care gaps",$Y65&amp;" priority · "&amp;$Z65))</f>
        <v/>
      </c>
    </row>
    <row r="66">
      <c r="A66" s="6">
        <f>IF(Demographics_Entry!$A66="","",Demographics_Entry!$A66)</f>
        <v/>
      </c>
      <c r="B66" s="6">
        <f>IF($A66="","",IFERROR(INDEX(Demographics_Entry!$E$5:$E$104,MATCH($A66,Demographics_Entry!$A$5:$A$104,0)),""))</f>
        <v/>
      </c>
      <c r="C66" s="6">
        <f>IF($A66="","",IFERROR(INDEX(Clinical_Entry!$U$5:$U$104,MATCH($A66,Clinical_Entry!$A$5:$A$104,0)),""))</f>
        <v/>
      </c>
      <c r="D66" s="6">
        <f>IF($A66="","",IFERROR(INDEX(Clinical_Entry!$W$5:$W$104,MATCH($A66,Clinical_Entry!$A$5:$A$104,0)),""))</f>
        <v/>
      </c>
      <c r="E66" s="6">
        <f>IF($A66="","",IFERROR(INDEX(Clinical_Entry!$Y$5:$Y$104,MATCH($A66,Clinical_Entry!$A$5:$A$104,0)),""))</f>
        <v/>
      </c>
      <c r="F66" s="6">
        <f>IF($A66="","",IFERROR(INDEX(Clinical_Entry!$Z$5:$Z$104,MATCH($A66,Clinical_Entry!$A$5:$A$104,0)),""))</f>
        <v/>
      </c>
      <c r="G66" s="6">
        <f>IF($A66="","",IFERROR(INDEX(Treatment_Entry!$AA$5:$AA$104,MATCH($A66,Treatment_Entry!$A$5:$A$104,0)),""))</f>
        <v/>
      </c>
      <c r="H66" s="6">
        <f>IF($A66="","",IFERROR(INDEX(Clinical_Entry!$AB$5:$AB$104,MATCH($A66,Clinical_Entry!$A$5:$A$104,0)),""))</f>
        <v/>
      </c>
      <c r="I66" s="6">
        <f>IF($A66="","",IFERROR(INDEX(Clinical_Entry!$AC$5:$AC$104,MATCH($A66,Clinical_Entry!$A$5:$A$104,0)),""))</f>
        <v/>
      </c>
      <c r="J66" s="6">
        <f>IF($A66="","",IFERROR(INDEX(Treatment_Entry!$K$5:$K$104,MATCH($A66,Treatment_Entry!$A$5:$A$104,0)),""))</f>
        <v/>
      </c>
      <c r="K66" s="7">
        <f>IF($A66="","",IFERROR(INDEX(Treatment_Entry!$AC$5:$AC$104,MATCH($A66,Treatment_Entry!$A$5:$A$104,0)),""))</f>
        <v/>
      </c>
      <c r="L66" s="6">
        <f>IF($A66="","",IFERROR(INDEX(Treatment_Entry!$AE$5:$AE$104,MATCH($A66,Treatment_Entry!$A$5:$A$104,0)),""))</f>
        <v/>
      </c>
      <c r="M66" s="8">
        <f>IF($A66="","",IF(AND($E66="Not done",OR($C66="High",$C66="Very High / Locally Advanced",LEFT($C66,2)="M1")),1,0))</f>
        <v/>
      </c>
      <c r="N66" s="8">
        <f>IF($A66="","",IF(AND($F66="Not done",OR($C66="High",$C66="Very High / Locally Advanced")),1,0))</f>
        <v/>
      </c>
      <c r="O66" s="8">
        <f>IF($A66="","",IF($G66="Not started",1,0))</f>
        <v/>
      </c>
      <c r="P66" s="8">
        <f>IF($A66="","",IF($H66="Not done",1,0))</f>
        <v/>
      </c>
      <c r="Q66" s="8">
        <f>IF($A66="","",IF($I66="Not done",1,0))</f>
        <v/>
      </c>
      <c r="R66" s="8">
        <f>IF($A66="","",IF(AND($D66="Hormone-sensitive (HSPC)",$C66="High",$J66="Not initiated"),1,0))</f>
        <v/>
      </c>
      <c r="S66" s="8">
        <f>IF($A66="","",IF($K66="",1,0))</f>
        <v/>
      </c>
      <c r="T66" s="8">
        <f>IF($A66="","",IF(OR($L66="",$L66="Not done"),1,0))</f>
        <v/>
      </c>
      <c r="U66" s="8">
        <f>IF($A66="","",SUM($M66:$O66))</f>
        <v/>
      </c>
      <c r="V66" s="8">
        <f>IF($A66="","",SUM($P66:$R66))</f>
        <v/>
      </c>
      <c r="W66" s="8">
        <f>IF($A66="","",SUM($S66:$T66))</f>
        <v/>
      </c>
      <c r="X66" s="8">
        <f>IF($A66="","",SUM($U66:$W66))</f>
        <v/>
      </c>
      <c r="Y66" s="6">
        <f>IF($A66="","",IF($U66&gt;0,"Urgent",IF($V66&gt;0,"Warning",IF($W66&gt;0,"Info","Closed"))))</f>
        <v/>
      </c>
      <c r="Z66" s="6">
        <f>IF($A66="","",IF($M66=1,"Complete bone scan / SPECT",IF($N66=1,"Complete PSMA PET-CT",IF($O66=1,"Start bone protection plan",IF($P66=1,"Order DEXA",IF($Q66=1,"Order genomics",IF($R66=1,"Review ARSI intensification",IF($S66=1,"Schedule follow-up PSA",IF($T66=1,"Document psychosocial screening","No open gap")))))))))</f>
        <v/>
      </c>
      <c r="AA66" s="6">
        <f>IF($A66="","",IF($X66=0,"No open care gaps",$Y66&amp;" priority · "&amp;$Z66))</f>
        <v/>
      </c>
    </row>
    <row r="67">
      <c r="A67" s="6">
        <f>IF(Demographics_Entry!$A67="","",Demographics_Entry!$A67)</f>
        <v/>
      </c>
      <c r="B67" s="6">
        <f>IF($A67="","",IFERROR(INDEX(Demographics_Entry!$E$5:$E$104,MATCH($A67,Demographics_Entry!$A$5:$A$104,0)),""))</f>
        <v/>
      </c>
      <c r="C67" s="6">
        <f>IF($A67="","",IFERROR(INDEX(Clinical_Entry!$U$5:$U$104,MATCH($A67,Clinical_Entry!$A$5:$A$104,0)),""))</f>
        <v/>
      </c>
      <c r="D67" s="6">
        <f>IF($A67="","",IFERROR(INDEX(Clinical_Entry!$W$5:$W$104,MATCH($A67,Clinical_Entry!$A$5:$A$104,0)),""))</f>
        <v/>
      </c>
      <c r="E67" s="6">
        <f>IF($A67="","",IFERROR(INDEX(Clinical_Entry!$Y$5:$Y$104,MATCH($A67,Clinical_Entry!$A$5:$A$104,0)),""))</f>
        <v/>
      </c>
      <c r="F67" s="6">
        <f>IF($A67="","",IFERROR(INDEX(Clinical_Entry!$Z$5:$Z$104,MATCH($A67,Clinical_Entry!$A$5:$A$104,0)),""))</f>
        <v/>
      </c>
      <c r="G67" s="6">
        <f>IF($A67="","",IFERROR(INDEX(Treatment_Entry!$AA$5:$AA$104,MATCH($A67,Treatment_Entry!$A$5:$A$104,0)),""))</f>
        <v/>
      </c>
      <c r="H67" s="6">
        <f>IF($A67="","",IFERROR(INDEX(Clinical_Entry!$AB$5:$AB$104,MATCH($A67,Clinical_Entry!$A$5:$A$104,0)),""))</f>
        <v/>
      </c>
      <c r="I67" s="6">
        <f>IF($A67="","",IFERROR(INDEX(Clinical_Entry!$AC$5:$AC$104,MATCH($A67,Clinical_Entry!$A$5:$A$104,0)),""))</f>
        <v/>
      </c>
      <c r="J67" s="6">
        <f>IF($A67="","",IFERROR(INDEX(Treatment_Entry!$K$5:$K$104,MATCH($A67,Treatment_Entry!$A$5:$A$104,0)),""))</f>
        <v/>
      </c>
      <c r="K67" s="7">
        <f>IF($A67="","",IFERROR(INDEX(Treatment_Entry!$AC$5:$AC$104,MATCH($A67,Treatment_Entry!$A$5:$A$104,0)),""))</f>
        <v/>
      </c>
      <c r="L67" s="6">
        <f>IF($A67="","",IFERROR(INDEX(Treatment_Entry!$AE$5:$AE$104,MATCH($A67,Treatment_Entry!$A$5:$A$104,0)),""))</f>
        <v/>
      </c>
      <c r="M67" s="8">
        <f>IF($A67="","",IF(AND($E67="Not done",OR($C67="High",$C67="Very High / Locally Advanced",LEFT($C67,2)="M1")),1,0))</f>
        <v/>
      </c>
      <c r="N67" s="8">
        <f>IF($A67="","",IF(AND($F67="Not done",OR($C67="High",$C67="Very High / Locally Advanced")),1,0))</f>
        <v/>
      </c>
      <c r="O67" s="8">
        <f>IF($A67="","",IF($G67="Not started",1,0))</f>
        <v/>
      </c>
      <c r="P67" s="8">
        <f>IF($A67="","",IF($H67="Not done",1,0))</f>
        <v/>
      </c>
      <c r="Q67" s="8">
        <f>IF($A67="","",IF($I67="Not done",1,0))</f>
        <v/>
      </c>
      <c r="R67" s="8">
        <f>IF($A67="","",IF(AND($D67="Hormone-sensitive (HSPC)",$C67="High",$J67="Not initiated"),1,0))</f>
        <v/>
      </c>
      <c r="S67" s="8">
        <f>IF($A67="","",IF($K67="",1,0))</f>
        <v/>
      </c>
      <c r="T67" s="8">
        <f>IF($A67="","",IF(OR($L67="",$L67="Not done"),1,0))</f>
        <v/>
      </c>
      <c r="U67" s="8">
        <f>IF($A67="","",SUM($M67:$O67))</f>
        <v/>
      </c>
      <c r="V67" s="8">
        <f>IF($A67="","",SUM($P67:$R67))</f>
        <v/>
      </c>
      <c r="W67" s="8">
        <f>IF($A67="","",SUM($S67:$T67))</f>
        <v/>
      </c>
      <c r="X67" s="8">
        <f>IF($A67="","",SUM($U67:$W67))</f>
        <v/>
      </c>
      <c r="Y67" s="6">
        <f>IF($A67="","",IF($U67&gt;0,"Urgent",IF($V67&gt;0,"Warning",IF($W67&gt;0,"Info","Closed"))))</f>
        <v/>
      </c>
      <c r="Z67" s="6">
        <f>IF($A67="","",IF($M67=1,"Complete bone scan / SPECT",IF($N67=1,"Complete PSMA PET-CT",IF($O67=1,"Start bone protection plan",IF($P67=1,"Order DEXA",IF($Q67=1,"Order genomics",IF($R67=1,"Review ARSI intensification",IF($S67=1,"Schedule follow-up PSA",IF($T67=1,"Document psychosocial screening","No open gap")))))))))</f>
        <v/>
      </c>
      <c r="AA67" s="6">
        <f>IF($A67="","",IF($X67=0,"No open care gaps",$Y67&amp;" priority · "&amp;$Z67))</f>
        <v/>
      </c>
    </row>
    <row r="68">
      <c r="A68" s="6">
        <f>IF(Demographics_Entry!$A68="","",Demographics_Entry!$A68)</f>
        <v/>
      </c>
      <c r="B68" s="6">
        <f>IF($A68="","",IFERROR(INDEX(Demographics_Entry!$E$5:$E$104,MATCH($A68,Demographics_Entry!$A$5:$A$104,0)),""))</f>
        <v/>
      </c>
      <c r="C68" s="6">
        <f>IF($A68="","",IFERROR(INDEX(Clinical_Entry!$U$5:$U$104,MATCH($A68,Clinical_Entry!$A$5:$A$104,0)),""))</f>
        <v/>
      </c>
      <c r="D68" s="6">
        <f>IF($A68="","",IFERROR(INDEX(Clinical_Entry!$W$5:$W$104,MATCH($A68,Clinical_Entry!$A$5:$A$104,0)),""))</f>
        <v/>
      </c>
      <c r="E68" s="6">
        <f>IF($A68="","",IFERROR(INDEX(Clinical_Entry!$Y$5:$Y$104,MATCH($A68,Clinical_Entry!$A$5:$A$104,0)),""))</f>
        <v/>
      </c>
      <c r="F68" s="6">
        <f>IF($A68="","",IFERROR(INDEX(Clinical_Entry!$Z$5:$Z$104,MATCH($A68,Clinical_Entry!$A$5:$A$104,0)),""))</f>
        <v/>
      </c>
      <c r="G68" s="6">
        <f>IF($A68="","",IFERROR(INDEX(Treatment_Entry!$AA$5:$AA$104,MATCH($A68,Treatment_Entry!$A$5:$A$104,0)),""))</f>
        <v/>
      </c>
      <c r="H68" s="6">
        <f>IF($A68="","",IFERROR(INDEX(Clinical_Entry!$AB$5:$AB$104,MATCH($A68,Clinical_Entry!$A$5:$A$104,0)),""))</f>
        <v/>
      </c>
      <c r="I68" s="6">
        <f>IF($A68="","",IFERROR(INDEX(Clinical_Entry!$AC$5:$AC$104,MATCH($A68,Clinical_Entry!$A$5:$A$104,0)),""))</f>
        <v/>
      </c>
      <c r="J68" s="6">
        <f>IF($A68="","",IFERROR(INDEX(Treatment_Entry!$K$5:$K$104,MATCH($A68,Treatment_Entry!$A$5:$A$104,0)),""))</f>
        <v/>
      </c>
      <c r="K68" s="7">
        <f>IF($A68="","",IFERROR(INDEX(Treatment_Entry!$AC$5:$AC$104,MATCH($A68,Treatment_Entry!$A$5:$A$104,0)),""))</f>
        <v/>
      </c>
      <c r="L68" s="6">
        <f>IF($A68="","",IFERROR(INDEX(Treatment_Entry!$AE$5:$AE$104,MATCH($A68,Treatment_Entry!$A$5:$A$104,0)),""))</f>
        <v/>
      </c>
      <c r="M68" s="8">
        <f>IF($A68="","",IF(AND($E68="Not done",OR($C68="High",$C68="Very High / Locally Advanced",LEFT($C68,2)="M1")),1,0))</f>
        <v/>
      </c>
      <c r="N68" s="8">
        <f>IF($A68="","",IF(AND($F68="Not done",OR($C68="High",$C68="Very High / Locally Advanced")),1,0))</f>
        <v/>
      </c>
      <c r="O68" s="8">
        <f>IF($A68="","",IF($G68="Not started",1,0))</f>
        <v/>
      </c>
      <c r="P68" s="8">
        <f>IF($A68="","",IF($H68="Not done",1,0))</f>
        <v/>
      </c>
      <c r="Q68" s="8">
        <f>IF($A68="","",IF($I68="Not done",1,0))</f>
        <v/>
      </c>
      <c r="R68" s="8">
        <f>IF($A68="","",IF(AND($D68="Hormone-sensitive (HSPC)",$C68="High",$J68="Not initiated"),1,0))</f>
        <v/>
      </c>
      <c r="S68" s="8">
        <f>IF($A68="","",IF($K68="",1,0))</f>
        <v/>
      </c>
      <c r="T68" s="8">
        <f>IF($A68="","",IF(OR($L68="",$L68="Not done"),1,0))</f>
        <v/>
      </c>
      <c r="U68" s="8">
        <f>IF($A68="","",SUM($M68:$O68))</f>
        <v/>
      </c>
      <c r="V68" s="8">
        <f>IF($A68="","",SUM($P68:$R68))</f>
        <v/>
      </c>
      <c r="W68" s="8">
        <f>IF($A68="","",SUM($S68:$T68))</f>
        <v/>
      </c>
      <c r="X68" s="8">
        <f>IF($A68="","",SUM($U68:$W68))</f>
        <v/>
      </c>
      <c r="Y68" s="6">
        <f>IF($A68="","",IF($U68&gt;0,"Urgent",IF($V68&gt;0,"Warning",IF($W68&gt;0,"Info","Closed"))))</f>
        <v/>
      </c>
      <c r="Z68" s="6">
        <f>IF($A68="","",IF($M68=1,"Complete bone scan / SPECT",IF($N68=1,"Complete PSMA PET-CT",IF($O68=1,"Start bone protection plan",IF($P68=1,"Order DEXA",IF($Q68=1,"Order genomics",IF($R68=1,"Review ARSI intensification",IF($S68=1,"Schedule follow-up PSA",IF($T68=1,"Document psychosocial screening","No open gap")))))))))</f>
        <v/>
      </c>
      <c r="AA68" s="6">
        <f>IF($A68="","",IF($X68=0,"No open care gaps",$Y68&amp;" priority · "&amp;$Z68))</f>
        <v/>
      </c>
    </row>
    <row r="69">
      <c r="A69" s="6">
        <f>IF(Demographics_Entry!$A69="","",Demographics_Entry!$A69)</f>
        <v/>
      </c>
      <c r="B69" s="6">
        <f>IF($A69="","",IFERROR(INDEX(Demographics_Entry!$E$5:$E$104,MATCH($A69,Demographics_Entry!$A$5:$A$104,0)),""))</f>
        <v/>
      </c>
      <c r="C69" s="6">
        <f>IF($A69="","",IFERROR(INDEX(Clinical_Entry!$U$5:$U$104,MATCH($A69,Clinical_Entry!$A$5:$A$104,0)),""))</f>
        <v/>
      </c>
      <c r="D69" s="6">
        <f>IF($A69="","",IFERROR(INDEX(Clinical_Entry!$W$5:$W$104,MATCH($A69,Clinical_Entry!$A$5:$A$104,0)),""))</f>
        <v/>
      </c>
      <c r="E69" s="6">
        <f>IF($A69="","",IFERROR(INDEX(Clinical_Entry!$Y$5:$Y$104,MATCH($A69,Clinical_Entry!$A$5:$A$104,0)),""))</f>
        <v/>
      </c>
      <c r="F69" s="6">
        <f>IF($A69="","",IFERROR(INDEX(Clinical_Entry!$Z$5:$Z$104,MATCH($A69,Clinical_Entry!$A$5:$A$104,0)),""))</f>
        <v/>
      </c>
      <c r="G69" s="6">
        <f>IF($A69="","",IFERROR(INDEX(Treatment_Entry!$AA$5:$AA$104,MATCH($A69,Treatment_Entry!$A$5:$A$104,0)),""))</f>
        <v/>
      </c>
      <c r="H69" s="6">
        <f>IF($A69="","",IFERROR(INDEX(Clinical_Entry!$AB$5:$AB$104,MATCH($A69,Clinical_Entry!$A$5:$A$104,0)),""))</f>
        <v/>
      </c>
      <c r="I69" s="6">
        <f>IF($A69="","",IFERROR(INDEX(Clinical_Entry!$AC$5:$AC$104,MATCH($A69,Clinical_Entry!$A$5:$A$104,0)),""))</f>
        <v/>
      </c>
      <c r="J69" s="6">
        <f>IF($A69="","",IFERROR(INDEX(Treatment_Entry!$K$5:$K$104,MATCH($A69,Treatment_Entry!$A$5:$A$104,0)),""))</f>
        <v/>
      </c>
      <c r="K69" s="7">
        <f>IF($A69="","",IFERROR(INDEX(Treatment_Entry!$AC$5:$AC$104,MATCH($A69,Treatment_Entry!$A$5:$A$104,0)),""))</f>
        <v/>
      </c>
      <c r="L69" s="6">
        <f>IF($A69="","",IFERROR(INDEX(Treatment_Entry!$AE$5:$AE$104,MATCH($A69,Treatment_Entry!$A$5:$A$104,0)),""))</f>
        <v/>
      </c>
      <c r="M69" s="8">
        <f>IF($A69="","",IF(AND($E69="Not done",OR($C69="High",$C69="Very High / Locally Advanced",LEFT($C69,2)="M1")),1,0))</f>
        <v/>
      </c>
      <c r="N69" s="8">
        <f>IF($A69="","",IF(AND($F69="Not done",OR($C69="High",$C69="Very High / Locally Advanced")),1,0))</f>
        <v/>
      </c>
      <c r="O69" s="8">
        <f>IF($A69="","",IF($G69="Not started",1,0))</f>
        <v/>
      </c>
      <c r="P69" s="8">
        <f>IF($A69="","",IF($H69="Not done",1,0))</f>
        <v/>
      </c>
      <c r="Q69" s="8">
        <f>IF($A69="","",IF($I69="Not done",1,0))</f>
        <v/>
      </c>
      <c r="R69" s="8">
        <f>IF($A69="","",IF(AND($D69="Hormone-sensitive (HSPC)",$C69="High",$J69="Not initiated"),1,0))</f>
        <v/>
      </c>
      <c r="S69" s="8">
        <f>IF($A69="","",IF($K69="",1,0))</f>
        <v/>
      </c>
      <c r="T69" s="8">
        <f>IF($A69="","",IF(OR($L69="",$L69="Not done"),1,0))</f>
        <v/>
      </c>
      <c r="U69" s="8">
        <f>IF($A69="","",SUM($M69:$O69))</f>
        <v/>
      </c>
      <c r="V69" s="8">
        <f>IF($A69="","",SUM($P69:$R69))</f>
        <v/>
      </c>
      <c r="W69" s="8">
        <f>IF($A69="","",SUM($S69:$T69))</f>
        <v/>
      </c>
      <c r="X69" s="8">
        <f>IF($A69="","",SUM($U69:$W69))</f>
        <v/>
      </c>
      <c r="Y69" s="6">
        <f>IF($A69="","",IF($U69&gt;0,"Urgent",IF($V69&gt;0,"Warning",IF($W69&gt;0,"Info","Closed"))))</f>
        <v/>
      </c>
      <c r="Z69" s="6">
        <f>IF($A69="","",IF($M69=1,"Complete bone scan / SPECT",IF($N69=1,"Complete PSMA PET-CT",IF($O69=1,"Start bone protection plan",IF($P69=1,"Order DEXA",IF($Q69=1,"Order genomics",IF($R69=1,"Review ARSI intensification",IF($S69=1,"Schedule follow-up PSA",IF($T69=1,"Document psychosocial screening","No open gap")))))))))</f>
        <v/>
      </c>
      <c r="AA69" s="6">
        <f>IF($A69="","",IF($X69=0,"No open care gaps",$Y69&amp;" priority · "&amp;$Z69))</f>
        <v/>
      </c>
    </row>
    <row r="70">
      <c r="A70" s="6">
        <f>IF(Demographics_Entry!$A70="","",Demographics_Entry!$A70)</f>
        <v/>
      </c>
      <c r="B70" s="6">
        <f>IF($A70="","",IFERROR(INDEX(Demographics_Entry!$E$5:$E$104,MATCH($A70,Demographics_Entry!$A$5:$A$104,0)),""))</f>
        <v/>
      </c>
      <c r="C70" s="6">
        <f>IF($A70="","",IFERROR(INDEX(Clinical_Entry!$U$5:$U$104,MATCH($A70,Clinical_Entry!$A$5:$A$104,0)),""))</f>
        <v/>
      </c>
      <c r="D70" s="6">
        <f>IF($A70="","",IFERROR(INDEX(Clinical_Entry!$W$5:$W$104,MATCH($A70,Clinical_Entry!$A$5:$A$104,0)),""))</f>
        <v/>
      </c>
      <c r="E70" s="6">
        <f>IF($A70="","",IFERROR(INDEX(Clinical_Entry!$Y$5:$Y$104,MATCH($A70,Clinical_Entry!$A$5:$A$104,0)),""))</f>
        <v/>
      </c>
      <c r="F70" s="6">
        <f>IF($A70="","",IFERROR(INDEX(Clinical_Entry!$Z$5:$Z$104,MATCH($A70,Clinical_Entry!$A$5:$A$104,0)),""))</f>
        <v/>
      </c>
      <c r="G70" s="6">
        <f>IF($A70="","",IFERROR(INDEX(Treatment_Entry!$AA$5:$AA$104,MATCH($A70,Treatment_Entry!$A$5:$A$104,0)),""))</f>
        <v/>
      </c>
      <c r="H70" s="6">
        <f>IF($A70="","",IFERROR(INDEX(Clinical_Entry!$AB$5:$AB$104,MATCH($A70,Clinical_Entry!$A$5:$A$104,0)),""))</f>
        <v/>
      </c>
      <c r="I70" s="6">
        <f>IF($A70="","",IFERROR(INDEX(Clinical_Entry!$AC$5:$AC$104,MATCH($A70,Clinical_Entry!$A$5:$A$104,0)),""))</f>
        <v/>
      </c>
      <c r="J70" s="6">
        <f>IF($A70="","",IFERROR(INDEX(Treatment_Entry!$K$5:$K$104,MATCH($A70,Treatment_Entry!$A$5:$A$104,0)),""))</f>
        <v/>
      </c>
      <c r="K70" s="7">
        <f>IF($A70="","",IFERROR(INDEX(Treatment_Entry!$AC$5:$AC$104,MATCH($A70,Treatment_Entry!$A$5:$A$104,0)),""))</f>
        <v/>
      </c>
      <c r="L70" s="6">
        <f>IF($A70="","",IFERROR(INDEX(Treatment_Entry!$AE$5:$AE$104,MATCH($A70,Treatment_Entry!$A$5:$A$104,0)),""))</f>
        <v/>
      </c>
      <c r="M70" s="8">
        <f>IF($A70="","",IF(AND($E70="Not done",OR($C70="High",$C70="Very High / Locally Advanced",LEFT($C70,2)="M1")),1,0))</f>
        <v/>
      </c>
      <c r="N70" s="8">
        <f>IF($A70="","",IF(AND($F70="Not done",OR($C70="High",$C70="Very High / Locally Advanced")),1,0))</f>
        <v/>
      </c>
      <c r="O70" s="8">
        <f>IF($A70="","",IF($G70="Not started",1,0))</f>
        <v/>
      </c>
      <c r="P70" s="8">
        <f>IF($A70="","",IF($H70="Not done",1,0))</f>
        <v/>
      </c>
      <c r="Q70" s="8">
        <f>IF($A70="","",IF($I70="Not done",1,0))</f>
        <v/>
      </c>
      <c r="R70" s="8">
        <f>IF($A70="","",IF(AND($D70="Hormone-sensitive (HSPC)",$C70="High",$J70="Not initiated"),1,0))</f>
        <v/>
      </c>
      <c r="S70" s="8">
        <f>IF($A70="","",IF($K70="",1,0))</f>
        <v/>
      </c>
      <c r="T70" s="8">
        <f>IF($A70="","",IF(OR($L70="",$L70="Not done"),1,0))</f>
        <v/>
      </c>
      <c r="U70" s="8">
        <f>IF($A70="","",SUM($M70:$O70))</f>
        <v/>
      </c>
      <c r="V70" s="8">
        <f>IF($A70="","",SUM($P70:$R70))</f>
        <v/>
      </c>
      <c r="W70" s="8">
        <f>IF($A70="","",SUM($S70:$T70))</f>
        <v/>
      </c>
      <c r="X70" s="8">
        <f>IF($A70="","",SUM($U70:$W70))</f>
        <v/>
      </c>
      <c r="Y70" s="6">
        <f>IF($A70="","",IF($U70&gt;0,"Urgent",IF($V70&gt;0,"Warning",IF($W70&gt;0,"Info","Closed"))))</f>
        <v/>
      </c>
      <c r="Z70" s="6">
        <f>IF($A70="","",IF($M70=1,"Complete bone scan / SPECT",IF($N70=1,"Complete PSMA PET-CT",IF($O70=1,"Start bone protection plan",IF($P70=1,"Order DEXA",IF($Q70=1,"Order genomics",IF($R70=1,"Review ARSI intensification",IF($S70=1,"Schedule follow-up PSA",IF($T70=1,"Document psychosocial screening","No open gap")))))))))</f>
        <v/>
      </c>
      <c r="AA70" s="6">
        <f>IF($A70="","",IF($X70=0,"No open care gaps",$Y70&amp;" priority · "&amp;$Z70))</f>
        <v/>
      </c>
    </row>
    <row r="71">
      <c r="A71" s="6">
        <f>IF(Demographics_Entry!$A71="","",Demographics_Entry!$A71)</f>
        <v/>
      </c>
      <c r="B71" s="6">
        <f>IF($A71="","",IFERROR(INDEX(Demographics_Entry!$E$5:$E$104,MATCH($A71,Demographics_Entry!$A$5:$A$104,0)),""))</f>
        <v/>
      </c>
      <c r="C71" s="6">
        <f>IF($A71="","",IFERROR(INDEX(Clinical_Entry!$U$5:$U$104,MATCH($A71,Clinical_Entry!$A$5:$A$104,0)),""))</f>
        <v/>
      </c>
      <c r="D71" s="6">
        <f>IF($A71="","",IFERROR(INDEX(Clinical_Entry!$W$5:$W$104,MATCH($A71,Clinical_Entry!$A$5:$A$104,0)),""))</f>
        <v/>
      </c>
      <c r="E71" s="6">
        <f>IF($A71="","",IFERROR(INDEX(Clinical_Entry!$Y$5:$Y$104,MATCH($A71,Clinical_Entry!$A$5:$A$104,0)),""))</f>
        <v/>
      </c>
      <c r="F71" s="6">
        <f>IF($A71="","",IFERROR(INDEX(Clinical_Entry!$Z$5:$Z$104,MATCH($A71,Clinical_Entry!$A$5:$A$104,0)),""))</f>
        <v/>
      </c>
      <c r="G71" s="6">
        <f>IF($A71="","",IFERROR(INDEX(Treatment_Entry!$AA$5:$AA$104,MATCH($A71,Treatment_Entry!$A$5:$A$104,0)),""))</f>
        <v/>
      </c>
      <c r="H71" s="6">
        <f>IF($A71="","",IFERROR(INDEX(Clinical_Entry!$AB$5:$AB$104,MATCH($A71,Clinical_Entry!$A$5:$A$104,0)),""))</f>
        <v/>
      </c>
      <c r="I71" s="6">
        <f>IF($A71="","",IFERROR(INDEX(Clinical_Entry!$AC$5:$AC$104,MATCH($A71,Clinical_Entry!$A$5:$A$104,0)),""))</f>
        <v/>
      </c>
      <c r="J71" s="6">
        <f>IF($A71="","",IFERROR(INDEX(Treatment_Entry!$K$5:$K$104,MATCH($A71,Treatment_Entry!$A$5:$A$104,0)),""))</f>
        <v/>
      </c>
      <c r="K71" s="7">
        <f>IF($A71="","",IFERROR(INDEX(Treatment_Entry!$AC$5:$AC$104,MATCH($A71,Treatment_Entry!$A$5:$A$104,0)),""))</f>
        <v/>
      </c>
      <c r="L71" s="6">
        <f>IF($A71="","",IFERROR(INDEX(Treatment_Entry!$AE$5:$AE$104,MATCH($A71,Treatment_Entry!$A$5:$A$104,0)),""))</f>
        <v/>
      </c>
      <c r="M71" s="8">
        <f>IF($A71="","",IF(AND($E71="Not done",OR($C71="High",$C71="Very High / Locally Advanced",LEFT($C71,2)="M1")),1,0))</f>
        <v/>
      </c>
      <c r="N71" s="8">
        <f>IF($A71="","",IF(AND($F71="Not done",OR($C71="High",$C71="Very High / Locally Advanced")),1,0))</f>
        <v/>
      </c>
      <c r="O71" s="8">
        <f>IF($A71="","",IF($G71="Not started",1,0))</f>
        <v/>
      </c>
      <c r="P71" s="8">
        <f>IF($A71="","",IF($H71="Not done",1,0))</f>
        <v/>
      </c>
      <c r="Q71" s="8">
        <f>IF($A71="","",IF($I71="Not done",1,0))</f>
        <v/>
      </c>
      <c r="R71" s="8">
        <f>IF($A71="","",IF(AND($D71="Hormone-sensitive (HSPC)",$C71="High",$J71="Not initiated"),1,0))</f>
        <v/>
      </c>
      <c r="S71" s="8">
        <f>IF($A71="","",IF($K71="",1,0))</f>
        <v/>
      </c>
      <c r="T71" s="8">
        <f>IF($A71="","",IF(OR($L71="",$L71="Not done"),1,0))</f>
        <v/>
      </c>
      <c r="U71" s="8">
        <f>IF($A71="","",SUM($M71:$O71))</f>
        <v/>
      </c>
      <c r="V71" s="8">
        <f>IF($A71="","",SUM($P71:$R71))</f>
        <v/>
      </c>
      <c r="W71" s="8">
        <f>IF($A71="","",SUM($S71:$T71))</f>
        <v/>
      </c>
      <c r="X71" s="8">
        <f>IF($A71="","",SUM($U71:$W71))</f>
        <v/>
      </c>
      <c r="Y71" s="6">
        <f>IF($A71="","",IF($U71&gt;0,"Urgent",IF($V71&gt;0,"Warning",IF($W71&gt;0,"Info","Closed"))))</f>
        <v/>
      </c>
      <c r="Z71" s="6">
        <f>IF($A71="","",IF($M71=1,"Complete bone scan / SPECT",IF($N71=1,"Complete PSMA PET-CT",IF($O71=1,"Start bone protection plan",IF($P71=1,"Order DEXA",IF($Q71=1,"Order genomics",IF($R71=1,"Review ARSI intensification",IF($S71=1,"Schedule follow-up PSA",IF($T71=1,"Document psychosocial screening","No open gap")))))))))</f>
        <v/>
      </c>
      <c r="AA71" s="6">
        <f>IF($A71="","",IF($X71=0,"No open care gaps",$Y71&amp;" priority · "&amp;$Z71))</f>
        <v/>
      </c>
    </row>
    <row r="72">
      <c r="A72" s="6">
        <f>IF(Demographics_Entry!$A72="","",Demographics_Entry!$A72)</f>
        <v/>
      </c>
      <c r="B72" s="6">
        <f>IF($A72="","",IFERROR(INDEX(Demographics_Entry!$E$5:$E$104,MATCH($A72,Demographics_Entry!$A$5:$A$104,0)),""))</f>
        <v/>
      </c>
      <c r="C72" s="6">
        <f>IF($A72="","",IFERROR(INDEX(Clinical_Entry!$U$5:$U$104,MATCH($A72,Clinical_Entry!$A$5:$A$104,0)),""))</f>
        <v/>
      </c>
      <c r="D72" s="6">
        <f>IF($A72="","",IFERROR(INDEX(Clinical_Entry!$W$5:$W$104,MATCH($A72,Clinical_Entry!$A$5:$A$104,0)),""))</f>
        <v/>
      </c>
      <c r="E72" s="6">
        <f>IF($A72="","",IFERROR(INDEX(Clinical_Entry!$Y$5:$Y$104,MATCH($A72,Clinical_Entry!$A$5:$A$104,0)),""))</f>
        <v/>
      </c>
      <c r="F72" s="6">
        <f>IF($A72="","",IFERROR(INDEX(Clinical_Entry!$Z$5:$Z$104,MATCH($A72,Clinical_Entry!$A$5:$A$104,0)),""))</f>
        <v/>
      </c>
      <c r="G72" s="6">
        <f>IF($A72="","",IFERROR(INDEX(Treatment_Entry!$AA$5:$AA$104,MATCH($A72,Treatment_Entry!$A$5:$A$104,0)),""))</f>
        <v/>
      </c>
      <c r="H72" s="6">
        <f>IF($A72="","",IFERROR(INDEX(Clinical_Entry!$AB$5:$AB$104,MATCH($A72,Clinical_Entry!$A$5:$A$104,0)),""))</f>
        <v/>
      </c>
      <c r="I72" s="6">
        <f>IF($A72="","",IFERROR(INDEX(Clinical_Entry!$AC$5:$AC$104,MATCH($A72,Clinical_Entry!$A$5:$A$104,0)),""))</f>
        <v/>
      </c>
      <c r="J72" s="6">
        <f>IF($A72="","",IFERROR(INDEX(Treatment_Entry!$K$5:$K$104,MATCH($A72,Treatment_Entry!$A$5:$A$104,0)),""))</f>
        <v/>
      </c>
      <c r="K72" s="7">
        <f>IF($A72="","",IFERROR(INDEX(Treatment_Entry!$AC$5:$AC$104,MATCH($A72,Treatment_Entry!$A$5:$A$104,0)),""))</f>
        <v/>
      </c>
      <c r="L72" s="6">
        <f>IF($A72="","",IFERROR(INDEX(Treatment_Entry!$AE$5:$AE$104,MATCH($A72,Treatment_Entry!$A$5:$A$104,0)),""))</f>
        <v/>
      </c>
      <c r="M72" s="8">
        <f>IF($A72="","",IF(AND($E72="Not done",OR($C72="High",$C72="Very High / Locally Advanced",LEFT($C72,2)="M1")),1,0))</f>
        <v/>
      </c>
      <c r="N72" s="8">
        <f>IF($A72="","",IF(AND($F72="Not done",OR($C72="High",$C72="Very High / Locally Advanced")),1,0))</f>
        <v/>
      </c>
      <c r="O72" s="8">
        <f>IF($A72="","",IF($G72="Not started",1,0))</f>
        <v/>
      </c>
      <c r="P72" s="8">
        <f>IF($A72="","",IF($H72="Not done",1,0))</f>
        <v/>
      </c>
      <c r="Q72" s="8">
        <f>IF($A72="","",IF($I72="Not done",1,0))</f>
        <v/>
      </c>
      <c r="R72" s="8">
        <f>IF($A72="","",IF(AND($D72="Hormone-sensitive (HSPC)",$C72="High",$J72="Not initiated"),1,0))</f>
        <v/>
      </c>
      <c r="S72" s="8">
        <f>IF($A72="","",IF($K72="",1,0))</f>
        <v/>
      </c>
      <c r="T72" s="8">
        <f>IF($A72="","",IF(OR($L72="",$L72="Not done"),1,0))</f>
        <v/>
      </c>
      <c r="U72" s="8">
        <f>IF($A72="","",SUM($M72:$O72))</f>
        <v/>
      </c>
      <c r="V72" s="8">
        <f>IF($A72="","",SUM($P72:$R72))</f>
        <v/>
      </c>
      <c r="W72" s="8">
        <f>IF($A72="","",SUM($S72:$T72))</f>
        <v/>
      </c>
      <c r="X72" s="8">
        <f>IF($A72="","",SUM($U72:$W72))</f>
        <v/>
      </c>
      <c r="Y72" s="6">
        <f>IF($A72="","",IF($U72&gt;0,"Urgent",IF($V72&gt;0,"Warning",IF($W72&gt;0,"Info","Closed"))))</f>
        <v/>
      </c>
      <c r="Z72" s="6">
        <f>IF($A72="","",IF($M72=1,"Complete bone scan / SPECT",IF($N72=1,"Complete PSMA PET-CT",IF($O72=1,"Start bone protection plan",IF($P72=1,"Order DEXA",IF($Q72=1,"Order genomics",IF($R72=1,"Review ARSI intensification",IF($S72=1,"Schedule follow-up PSA",IF($T72=1,"Document psychosocial screening","No open gap")))))))))</f>
        <v/>
      </c>
      <c r="AA72" s="6">
        <f>IF($A72="","",IF($X72=0,"No open care gaps",$Y72&amp;" priority · "&amp;$Z72))</f>
        <v/>
      </c>
    </row>
    <row r="73">
      <c r="A73" s="6">
        <f>IF(Demographics_Entry!$A73="","",Demographics_Entry!$A73)</f>
        <v/>
      </c>
      <c r="B73" s="6">
        <f>IF($A73="","",IFERROR(INDEX(Demographics_Entry!$E$5:$E$104,MATCH($A73,Demographics_Entry!$A$5:$A$104,0)),""))</f>
        <v/>
      </c>
      <c r="C73" s="6">
        <f>IF($A73="","",IFERROR(INDEX(Clinical_Entry!$U$5:$U$104,MATCH($A73,Clinical_Entry!$A$5:$A$104,0)),""))</f>
        <v/>
      </c>
      <c r="D73" s="6">
        <f>IF($A73="","",IFERROR(INDEX(Clinical_Entry!$W$5:$W$104,MATCH($A73,Clinical_Entry!$A$5:$A$104,0)),""))</f>
        <v/>
      </c>
      <c r="E73" s="6">
        <f>IF($A73="","",IFERROR(INDEX(Clinical_Entry!$Y$5:$Y$104,MATCH($A73,Clinical_Entry!$A$5:$A$104,0)),""))</f>
        <v/>
      </c>
      <c r="F73" s="6">
        <f>IF($A73="","",IFERROR(INDEX(Clinical_Entry!$Z$5:$Z$104,MATCH($A73,Clinical_Entry!$A$5:$A$104,0)),""))</f>
        <v/>
      </c>
      <c r="G73" s="6">
        <f>IF($A73="","",IFERROR(INDEX(Treatment_Entry!$AA$5:$AA$104,MATCH($A73,Treatment_Entry!$A$5:$A$104,0)),""))</f>
        <v/>
      </c>
      <c r="H73" s="6">
        <f>IF($A73="","",IFERROR(INDEX(Clinical_Entry!$AB$5:$AB$104,MATCH($A73,Clinical_Entry!$A$5:$A$104,0)),""))</f>
        <v/>
      </c>
      <c r="I73" s="6">
        <f>IF($A73="","",IFERROR(INDEX(Clinical_Entry!$AC$5:$AC$104,MATCH($A73,Clinical_Entry!$A$5:$A$104,0)),""))</f>
        <v/>
      </c>
      <c r="J73" s="6">
        <f>IF($A73="","",IFERROR(INDEX(Treatment_Entry!$K$5:$K$104,MATCH($A73,Treatment_Entry!$A$5:$A$104,0)),""))</f>
        <v/>
      </c>
      <c r="K73" s="7">
        <f>IF($A73="","",IFERROR(INDEX(Treatment_Entry!$AC$5:$AC$104,MATCH($A73,Treatment_Entry!$A$5:$A$104,0)),""))</f>
        <v/>
      </c>
      <c r="L73" s="6">
        <f>IF($A73="","",IFERROR(INDEX(Treatment_Entry!$AE$5:$AE$104,MATCH($A73,Treatment_Entry!$A$5:$A$104,0)),""))</f>
        <v/>
      </c>
      <c r="M73" s="8">
        <f>IF($A73="","",IF(AND($E73="Not done",OR($C73="High",$C73="Very High / Locally Advanced",LEFT($C73,2)="M1")),1,0))</f>
        <v/>
      </c>
      <c r="N73" s="8">
        <f>IF($A73="","",IF(AND($F73="Not done",OR($C73="High",$C73="Very High / Locally Advanced")),1,0))</f>
        <v/>
      </c>
      <c r="O73" s="8">
        <f>IF($A73="","",IF($G73="Not started",1,0))</f>
        <v/>
      </c>
      <c r="P73" s="8">
        <f>IF($A73="","",IF($H73="Not done",1,0))</f>
        <v/>
      </c>
      <c r="Q73" s="8">
        <f>IF($A73="","",IF($I73="Not done",1,0))</f>
        <v/>
      </c>
      <c r="R73" s="8">
        <f>IF($A73="","",IF(AND($D73="Hormone-sensitive (HSPC)",$C73="High",$J73="Not initiated"),1,0))</f>
        <v/>
      </c>
      <c r="S73" s="8">
        <f>IF($A73="","",IF($K73="",1,0))</f>
        <v/>
      </c>
      <c r="T73" s="8">
        <f>IF($A73="","",IF(OR($L73="",$L73="Not done"),1,0))</f>
        <v/>
      </c>
      <c r="U73" s="8">
        <f>IF($A73="","",SUM($M73:$O73))</f>
        <v/>
      </c>
      <c r="V73" s="8">
        <f>IF($A73="","",SUM($P73:$R73))</f>
        <v/>
      </c>
      <c r="W73" s="8">
        <f>IF($A73="","",SUM($S73:$T73))</f>
        <v/>
      </c>
      <c r="X73" s="8">
        <f>IF($A73="","",SUM($U73:$W73))</f>
        <v/>
      </c>
      <c r="Y73" s="6">
        <f>IF($A73="","",IF($U73&gt;0,"Urgent",IF($V73&gt;0,"Warning",IF($W73&gt;0,"Info","Closed"))))</f>
        <v/>
      </c>
      <c r="Z73" s="6">
        <f>IF($A73="","",IF($M73=1,"Complete bone scan / SPECT",IF($N73=1,"Complete PSMA PET-CT",IF($O73=1,"Start bone protection plan",IF($P73=1,"Order DEXA",IF($Q73=1,"Order genomics",IF($R73=1,"Review ARSI intensification",IF($S73=1,"Schedule follow-up PSA",IF($T73=1,"Document psychosocial screening","No open gap")))))))))</f>
        <v/>
      </c>
      <c r="AA73" s="6">
        <f>IF($A73="","",IF($X73=0,"No open care gaps",$Y73&amp;" priority · "&amp;$Z73))</f>
        <v/>
      </c>
    </row>
    <row r="74">
      <c r="A74" s="6">
        <f>IF(Demographics_Entry!$A74="","",Demographics_Entry!$A74)</f>
        <v/>
      </c>
      <c r="B74" s="6">
        <f>IF($A74="","",IFERROR(INDEX(Demographics_Entry!$E$5:$E$104,MATCH($A74,Demographics_Entry!$A$5:$A$104,0)),""))</f>
        <v/>
      </c>
      <c r="C74" s="6">
        <f>IF($A74="","",IFERROR(INDEX(Clinical_Entry!$U$5:$U$104,MATCH($A74,Clinical_Entry!$A$5:$A$104,0)),""))</f>
        <v/>
      </c>
      <c r="D74" s="6">
        <f>IF($A74="","",IFERROR(INDEX(Clinical_Entry!$W$5:$W$104,MATCH($A74,Clinical_Entry!$A$5:$A$104,0)),""))</f>
        <v/>
      </c>
      <c r="E74" s="6">
        <f>IF($A74="","",IFERROR(INDEX(Clinical_Entry!$Y$5:$Y$104,MATCH($A74,Clinical_Entry!$A$5:$A$104,0)),""))</f>
        <v/>
      </c>
      <c r="F74" s="6">
        <f>IF($A74="","",IFERROR(INDEX(Clinical_Entry!$Z$5:$Z$104,MATCH($A74,Clinical_Entry!$A$5:$A$104,0)),""))</f>
        <v/>
      </c>
      <c r="G74" s="6">
        <f>IF($A74="","",IFERROR(INDEX(Treatment_Entry!$AA$5:$AA$104,MATCH($A74,Treatment_Entry!$A$5:$A$104,0)),""))</f>
        <v/>
      </c>
      <c r="H74" s="6">
        <f>IF($A74="","",IFERROR(INDEX(Clinical_Entry!$AB$5:$AB$104,MATCH($A74,Clinical_Entry!$A$5:$A$104,0)),""))</f>
        <v/>
      </c>
      <c r="I74" s="6">
        <f>IF($A74="","",IFERROR(INDEX(Clinical_Entry!$AC$5:$AC$104,MATCH($A74,Clinical_Entry!$A$5:$A$104,0)),""))</f>
        <v/>
      </c>
      <c r="J74" s="6">
        <f>IF($A74="","",IFERROR(INDEX(Treatment_Entry!$K$5:$K$104,MATCH($A74,Treatment_Entry!$A$5:$A$104,0)),""))</f>
        <v/>
      </c>
      <c r="K74" s="7">
        <f>IF($A74="","",IFERROR(INDEX(Treatment_Entry!$AC$5:$AC$104,MATCH($A74,Treatment_Entry!$A$5:$A$104,0)),""))</f>
        <v/>
      </c>
      <c r="L74" s="6">
        <f>IF($A74="","",IFERROR(INDEX(Treatment_Entry!$AE$5:$AE$104,MATCH($A74,Treatment_Entry!$A$5:$A$104,0)),""))</f>
        <v/>
      </c>
      <c r="M74" s="8">
        <f>IF($A74="","",IF(AND($E74="Not done",OR($C74="High",$C74="Very High / Locally Advanced",LEFT($C74,2)="M1")),1,0))</f>
        <v/>
      </c>
      <c r="N74" s="8">
        <f>IF($A74="","",IF(AND($F74="Not done",OR($C74="High",$C74="Very High / Locally Advanced")),1,0))</f>
        <v/>
      </c>
      <c r="O74" s="8">
        <f>IF($A74="","",IF($G74="Not started",1,0))</f>
        <v/>
      </c>
      <c r="P74" s="8">
        <f>IF($A74="","",IF($H74="Not done",1,0))</f>
        <v/>
      </c>
      <c r="Q74" s="8">
        <f>IF($A74="","",IF($I74="Not done",1,0))</f>
        <v/>
      </c>
      <c r="R74" s="8">
        <f>IF($A74="","",IF(AND($D74="Hormone-sensitive (HSPC)",$C74="High",$J74="Not initiated"),1,0))</f>
        <v/>
      </c>
      <c r="S74" s="8">
        <f>IF($A74="","",IF($K74="",1,0))</f>
        <v/>
      </c>
      <c r="T74" s="8">
        <f>IF($A74="","",IF(OR($L74="",$L74="Not done"),1,0))</f>
        <v/>
      </c>
      <c r="U74" s="8">
        <f>IF($A74="","",SUM($M74:$O74))</f>
        <v/>
      </c>
      <c r="V74" s="8">
        <f>IF($A74="","",SUM($P74:$R74))</f>
        <v/>
      </c>
      <c r="W74" s="8">
        <f>IF($A74="","",SUM($S74:$T74))</f>
        <v/>
      </c>
      <c r="X74" s="8">
        <f>IF($A74="","",SUM($U74:$W74))</f>
        <v/>
      </c>
      <c r="Y74" s="6">
        <f>IF($A74="","",IF($U74&gt;0,"Urgent",IF($V74&gt;0,"Warning",IF($W74&gt;0,"Info","Closed"))))</f>
        <v/>
      </c>
      <c r="Z74" s="6">
        <f>IF($A74="","",IF($M74=1,"Complete bone scan / SPECT",IF($N74=1,"Complete PSMA PET-CT",IF($O74=1,"Start bone protection plan",IF($P74=1,"Order DEXA",IF($Q74=1,"Order genomics",IF($R74=1,"Review ARSI intensification",IF($S74=1,"Schedule follow-up PSA",IF($T74=1,"Document psychosocial screening","No open gap")))))))))</f>
        <v/>
      </c>
      <c r="AA74" s="6">
        <f>IF($A74="","",IF($X74=0,"No open care gaps",$Y74&amp;" priority · "&amp;$Z74))</f>
        <v/>
      </c>
    </row>
    <row r="75">
      <c r="A75" s="6">
        <f>IF(Demographics_Entry!$A75="","",Demographics_Entry!$A75)</f>
        <v/>
      </c>
      <c r="B75" s="6">
        <f>IF($A75="","",IFERROR(INDEX(Demographics_Entry!$E$5:$E$104,MATCH($A75,Demographics_Entry!$A$5:$A$104,0)),""))</f>
        <v/>
      </c>
      <c r="C75" s="6">
        <f>IF($A75="","",IFERROR(INDEX(Clinical_Entry!$U$5:$U$104,MATCH($A75,Clinical_Entry!$A$5:$A$104,0)),""))</f>
        <v/>
      </c>
      <c r="D75" s="6">
        <f>IF($A75="","",IFERROR(INDEX(Clinical_Entry!$W$5:$W$104,MATCH($A75,Clinical_Entry!$A$5:$A$104,0)),""))</f>
        <v/>
      </c>
      <c r="E75" s="6">
        <f>IF($A75="","",IFERROR(INDEX(Clinical_Entry!$Y$5:$Y$104,MATCH($A75,Clinical_Entry!$A$5:$A$104,0)),""))</f>
        <v/>
      </c>
      <c r="F75" s="6">
        <f>IF($A75="","",IFERROR(INDEX(Clinical_Entry!$Z$5:$Z$104,MATCH($A75,Clinical_Entry!$A$5:$A$104,0)),""))</f>
        <v/>
      </c>
      <c r="G75" s="6">
        <f>IF($A75="","",IFERROR(INDEX(Treatment_Entry!$AA$5:$AA$104,MATCH($A75,Treatment_Entry!$A$5:$A$104,0)),""))</f>
        <v/>
      </c>
      <c r="H75" s="6">
        <f>IF($A75="","",IFERROR(INDEX(Clinical_Entry!$AB$5:$AB$104,MATCH($A75,Clinical_Entry!$A$5:$A$104,0)),""))</f>
        <v/>
      </c>
      <c r="I75" s="6">
        <f>IF($A75="","",IFERROR(INDEX(Clinical_Entry!$AC$5:$AC$104,MATCH($A75,Clinical_Entry!$A$5:$A$104,0)),""))</f>
        <v/>
      </c>
      <c r="J75" s="6">
        <f>IF($A75="","",IFERROR(INDEX(Treatment_Entry!$K$5:$K$104,MATCH($A75,Treatment_Entry!$A$5:$A$104,0)),""))</f>
        <v/>
      </c>
      <c r="K75" s="7">
        <f>IF($A75="","",IFERROR(INDEX(Treatment_Entry!$AC$5:$AC$104,MATCH($A75,Treatment_Entry!$A$5:$A$104,0)),""))</f>
        <v/>
      </c>
      <c r="L75" s="6">
        <f>IF($A75="","",IFERROR(INDEX(Treatment_Entry!$AE$5:$AE$104,MATCH($A75,Treatment_Entry!$A$5:$A$104,0)),""))</f>
        <v/>
      </c>
      <c r="M75" s="8">
        <f>IF($A75="","",IF(AND($E75="Not done",OR($C75="High",$C75="Very High / Locally Advanced",LEFT($C75,2)="M1")),1,0))</f>
        <v/>
      </c>
      <c r="N75" s="8">
        <f>IF($A75="","",IF(AND($F75="Not done",OR($C75="High",$C75="Very High / Locally Advanced")),1,0))</f>
        <v/>
      </c>
      <c r="O75" s="8">
        <f>IF($A75="","",IF($G75="Not started",1,0))</f>
        <v/>
      </c>
      <c r="P75" s="8">
        <f>IF($A75="","",IF($H75="Not done",1,0))</f>
        <v/>
      </c>
      <c r="Q75" s="8">
        <f>IF($A75="","",IF($I75="Not done",1,0))</f>
        <v/>
      </c>
      <c r="R75" s="8">
        <f>IF($A75="","",IF(AND($D75="Hormone-sensitive (HSPC)",$C75="High",$J75="Not initiated"),1,0))</f>
        <v/>
      </c>
      <c r="S75" s="8">
        <f>IF($A75="","",IF($K75="",1,0))</f>
        <v/>
      </c>
      <c r="T75" s="8">
        <f>IF($A75="","",IF(OR($L75="",$L75="Not done"),1,0))</f>
        <v/>
      </c>
      <c r="U75" s="8">
        <f>IF($A75="","",SUM($M75:$O75))</f>
        <v/>
      </c>
      <c r="V75" s="8">
        <f>IF($A75="","",SUM($P75:$R75))</f>
        <v/>
      </c>
      <c r="W75" s="8">
        <f>IF($A75="","",SUM($S75:$T75))</f>
        <v/>
      </c>
      <c r="X75" s="8">
        <f>IF($A75="","",SUM($U75:$W75))</f>
        <v/>
      </c>
      <c r="Y75" s="6">
        <f>IF($A75="","",IF($U75&gt;0,"Urgent",IF($V75&gt;0,"Warning",IF($W75&gt;0,"Info","Closed"))))</f>
        <v/>
      </c>
      <c r="Z75" s="6">
        <f>IF($A75="","",IF($M75=1,"Complete bone scan / SPECT",IF($N75=1,"Complete PSMA PET-CT",IF($O75=1,"Start bone protection plan",IF($P75=1,"Order DEXA",IF($Q75=1,"Order genomics",IF($R75=1,"Review ARSI intensification",IF($S75=1,"Schedule follow-up PSA",IF($T75=1,"Document psychosocial screening","No open gap")))))))))</f>
        <v/>
      </c>
      <c r="AA75" s="6">
        <f>IF($A75="","",IF($X75=0,"No open care gaps",$Y75&amp;" priority · "&amp;$Z75))</f>
        <v/>
      </c>
    </row>
    <row r="76">
      <c r="A76" s="6">
        <f>IF(Demographics_Entry!$A76="","",Demographics_Entry!$A76)</f>
        <v/>
      </c>
      <c r="B76" s="6">
        <f>IF($A76="","",IFERROR(INDEX(Demographics_Entry!$E$5:$E$104,MATCH($A76,Demographics_Entry!$A$5:$A$104,0)),""))</f>
        <v/>
      </c>
      <c r="C76" s="6">
        <f>IF($A76="","",IFERROR(INDEX(Clinical_Entry!$U$5:$U$104,MATCH($A76,Clinical_Entry!$A$5:$A$104,0)),""))</f>
        <v/>
      </c>
      <c r="D76" s="6">
        <f>IF($A76="","",IFERROR(INDEX(Clinical_Entry!$W$5:$W$104,MATCH($A76,Clinical_Entry!$A$5:$A$104,0)),""))</f>
        <v/>
      </c>
      <c r="E76" s="6">
        <f>IF($A76="","",IFERROR(INDEX(Clinical_Entry!$Y$5:$Y$104,MATCH($A76,Clinical_Entry!$A$5:$A$104,0)),""))</f>
        <v/>
      </c>
      <c r="F76" s="6">
        <f>IF($A76="","",IFERROR(INDEX(Clinical_Entry!$Z$5:$Z$104,MATCH($A76,Clinical_Entry!$A$5:$A$104,0)),""))</f>
        <v/>
      </c>
      <c r="G76" s="6">
        <f>IF($A76="","",IFERROR(INDEX(Treatment_Entry!$AA$5:$AA$104,MATCH($A76,Treatment_Entry!$A$5:$A$104,0)),""))</f>
        <v/>
      </c>
      <c r="H76" s="6">
        <f>IF($A76="","",IFERROR(INDEX(Clinical_Entry!$AB$5:$AB$104,MATCH($A76,Clinical_Entry!$A$5:$A$104,0)),""))</f>
        <v/>
      </c>
      <c r="I76" s="6">
        <f>IF($A76="","",IFERROR(INDEX(Clinical_Entry!$AC$5:$AC$104,MATCH($A76,Clinical_Entry!$A$5:$A$104,0)),""))</f>
        <v/>
      </c>
      <c r="J76" s="6">
        <f>IF($A76="","",IFERROR(INDEX(Treatment_Entry!$K$5:$K$104,MATCH($A76,Treatment_Entry!$A$5:$A$104,0)),""))</f>
        <v/>
      </c>
      <c r="K76" s="7">
        <f>IF($A76="","",IFERROR(INDEX(Treatment_Entry!$AC$5:$AC$104,MATCH($A76,Treatment_Entry!$A$5:$A$104,0)),""))</f>
        <v/>
      </c>
      <c r="L76" s="6">
        <f>IF($A76="","",IFERROR(INDEX(Treatment_Entry!$AE$5:$AE$104,MATCH($A76,Treatment_Entry!$A$5:$A$104,0)),""))</f>
        <v/>
      </c>
      <c r="M76" s="8">
        <f>IF($A76="","",IF(AND($E76="Not done",OR($C76="High",$C76="Very High / Locally Advanced",LEFT($C76,2)="M1")),1,0))</f>
        <v/>
      </c>
      <c r="N76" s="8">
        <f>IF($A76="","",IF(AND($F76="Not done",OR($C76="High",$C76="Very High / Locally Advanced")),1,0))</f>
        <v/>
      </c>
      <c r="O76" s="8">
        <f>IF($A76="","",IF($G76="Not started",1,0))</f>
        <v/>
      </c>
      <c r="P76" s="8">
        <f>IF($A76="","",IF($H76="Not done",1,0))</f>
        <v/>
      </c>
      <c r="Q76" s="8">
        <f>IF($A76="","",IF($I76="Not done",1,0))</f>
        <v/>
      </c>
      <c r="R76" s="8">
        <f>IF($A76="","",IF(AND($D76="Hormone-sensitive (HSPC)",$C76="High",$J76="Not initiated"),1,0))</f>
        <v/>
      </c>
      <c r="S76" s="8">
        <f>IF($A76="","",IF($K76="",1,0))</f>
        <v/>
      </c>
      <c r="T76" s="8">
        <f>IF($A76="","",IF(OR($L76="",$L76="Not done"),1,0))</f>
        <v/>
      </c>
      <c r="U76" s="8">
        <f>IF($A76="","",SUM($M76:$O76))</f>
        <v/>
      </c>
      <c r="V76" s="8">
        <f>IF($A76="","",SUM($P76:$R76))</f>
        <v/>
      </c>
      <c r="W76" s="8">
        <f>IF($A76="","",SUM($S76:$T76))</f>
        <v/>
      </c>
      <c r="X76" s="8">
        <f>IF($A76="","",SUM($U76:$W76))</f>
        <v/>
      </c>
      <c r="Y76" s="6">
        <f>IF($A76="","",IF($U76&gt;0,"Urgent",IF($V76&gt;0,"Warning",IF($W76&gt;0,"Info","Closed"))))</f>
        <v/>
      </c>
      <c r="Z76" s="6">
        <f>IF($A76="","",IF($M76=1,"Complete bone scan / SPECT",IF($N76=1,"Complete PSMA PET-CT",IF($O76=1,"Start bone protection plan",IF($P76=1,"Order DEXA",IF($Q76=1,"Order genomics",IF($R76=1,"Review ARSI intensification",IF($S76=1,"Schedule follow-up PSA",IF($T76=1,"Document psychosocial screening","No open gap")))))))))</f>
        <v/>
      </c>
      <c r="AA76" s="6">
        <f>IF($A76="","",IF($X76=0,"No open care gaps",$Y76&amp;" priority · "&amp;$Z76))</f>
        <v/>
      </c>
    </row>
    <row r="77">
      <c r="A77" s="6">
        <f>IF(Demographics_Entry!$A77="","",Demographics_Entry!$A77)</f>
        <v/>
      </c>
      <c r="B77" s="6">
        <f>IF($A77="","",IFERROR(INDEX(Demographics_Entry!$E$5:$E$104,MATCH($A77,Demographics_Entry!$A$5:$A$104,0)),""))</f>
        <v/>
      </c>
      <c r="C77" s="6">
        <f>IF($A77="","",IFERROR(INDEX(Clinical_Entry!$U$5:$U$104,MATCH($A77,Clinical_Entry!$A$5:$A$104,0)),""))</f>
        <v/>
      </c>
      <c r="D77" s="6">
        <f>IF($A77="","",IFERROR(INDEX(Clinical_Entry!$W$5:$W$104,MATCH($A77,Clinical_Entry!$A$5:$A$104,0)),""))</f>
        <v/>
      </c>
      <c r="E77" s="6">
        <f>IF($A77="","",IFERROR(INDEX(Clinical_Entry!$Y$5:$Y$104,MATCH($A77,Clinical_Entry!$A$5:$A$104,0)),""))</f>
        <v/>
      </c>
      <c r="F77" s="6">
        <f>IF($A77="","",IFERROR(INDEX(Clinical_Entry!$Z$5:$Z$104,MATCH($A77,Clinical_Entry!$A$5:$A$104,0)),""))</f>
        <v/>
      </c>
      <c r="G77" s="6">
        <f>IF($A77="","",IFERROR(INDEX(Treatment_Entry!$AA$5:$AA$104,MATCH($A77,Treatment_Entry!$A$5:$A$104,0)),""))</f>
        <v/>
      </c>
      <c r="H77" s="6">
        <f>IF($A77="","",IFERROR(INDEX(Clinical_Entry!$AB$5:$AB$104,MATCH($A77,Clinical_Entry!$A$5:$A$104,0)),""))</f>
        <v/>
      </c>
      <c r="I77" s="6">
        <f>IF($A77="","",IFERROR(INDEX(Clinical_Entry!$AC$5:$AC$104,MATCH($A77,Clinical_Entry!$A$5:$A$104,0)),""))</f>
        <v/>
      </c>
      <c r="J77" s="6">
        <f>IF($A77="","",IFERROR(INDEX(Treatment_Entry!$K$5:$K$104,MATCH($A77,Treatment_Entry!$A$5:$A$104,0)),""))</f>
        <v/>
      </c>
      <c r="K77" s="7">
        <f>IF($A77="","",IFERROR(INDEX(Treatment_Entry!$AC$5:$AC$104,MATCH($A77,Treatment_Entry!$A$5:$A$104,0)),""))</f>
        <v/>
      </c>
      <c r="L77" s="6">
        <f>IF($A77="","",IFERROR(INDEX(Treatment_Entry!$AE$5:$AE$104,MATCH($A77,Treatment_Entry!$A$5:$A$104,0)),""))</f>
        <v/>
      </c>
      <c r="M77" s="8">
        <f>IF($A77="","",IF(AND($E77="Not done",OR($C77="High",$C77="Very High / Locally Advanced",LEFT($C77,2)="M1")),1,0))</f>
        <v/>
      </c>
      <c r="N77" s="8">
        <f>IF($A77="","",IF(AND($F77="Not done",OR($C77="High",$C77="Very High / Locally Advanced")),1,0))</f>
        <v/>
      </c>
      <c r="O77" s="8">
        <f>IF($A77="","",IF($G77="Not started",1,0))</f>
        <v/>
      </c>
      <c r="P77" s="8">
        <f>IF($A77="","",IF($H77="Not done",1,0))</f>
        <v/>
      </c>
      <c r="Q77" s="8">
        <f>IF($A77="","",IF($I77="Not done",1,0))</f>
        <v/>
      </c>
      <c r="R77" s="8">
        <f>IF($A77="","",IF(AND($D77="Hormone-sensitive (HSPC)",$C77="High",$J77="Not initiated"),1,0))</f>
        <v/>
      </c>
      <c r="S77" s="8">
        <f>IF($A77="","",IF($K77="",1,0))</f>
        <v/>
      </c>
      <c r="T77" s="8">
        <f>IF($A77="","",IF(OR($L77="",$L77="Not done"),1,0))</f>
        <v/>
      </c>
      <c r="U77" s="8">
        <f>IF($A77="","",SUM($M77:$O77))</f>
        <v/>
      </c>
      <c r="V77" s="8">
        <f>IF($A77="","",SUM($P77:$R77))</f>
        <v/>
      </c>
      <c r="W77" s="8">
        <f>IF($A77="","",SUM($S77:$T77))</f>
        <v/>
      </c>
      <c r="X77" s="8">
        <f>IF($A77="","",SUM($U77:$W77))</f>
        <v/>
      </c>
      <c r="Y77" s="6">
        <f>IF($A77="","",IF($U77&gt;0,"Urgent",IF($V77&gt;0,"Warning",IF($W77&gt;0,"Info","Closed"))))</f>
        <v/>
      </c>
      <c r="Z77" s="6">
        <f>IF($A77="","",IF($M77=1,"Complete bone scan / SPECT",IF($N77=1,"Complete PSMA PET-CT",IF($O77=1,"Start bone protection plan",IF($P77=1,"Order DEXA",IF($Q77=1,"Order genomics",IF($R77=1,"Review ARSI intensification",IF($S77=1,"Schedule follow-up PSA",IF($T77=1,"Document psychosocial screening","No open gap")))))))))</f>
        <v/>
      </c>
      <c r="AA77" s="6">
        <f>IF($A77="","",IF($X77=0,"No open care gaps",$Y77&amp;" priority · "&amp;$Z77))</f>
        <v/>
      </c>
    </row>
    <row r="78">
      <c r="A78" s="6">
        <f>IF(Demographics_Entry!$A78="","",Demographics_Entry!$A78)</f>
        <v/>
      </c>
      <c r="B78" s="6">
        <f>IF($A78="","",IFERROR(INDEX(Demographics_Entry!$E$5:$E$104,MATCH($A78,Demographics_Entry!$A$5:$A$104,0)),""))</f>
        <v/>
      </c>
      <c r="C78" s="6">
        <f>IF($A78="","",IFERROR(INDEX(Clinical_Entry!$U$5:$U$104,MATCH($A78,Clinical_Entry!$A$5:$A$104,0)),""))</f>
        <v/>
      </c>
      <c r="D78" s="6">
        <f>IF($A78="","",IFERROR(INDEX(Clinical_Entry!$W$5:$W$104,MATCH($A78,Clinical_Entry!$A$5:$A$104,0)),""))</f>
        <v/>
      </c>
      <c r="E78" s="6">
        <f>IF($A78="","",IFERROR(INDEX(Clinical_Entry!$Y$5:$Y$104,MATCH($A78,Clinical_Entry!$A$5:$A$104,0)),""))</f>
        <v/>
      </c>
      <c r="F78" s="6">
        <f>IF($A78="","",IFERROR(INDEX(Clinical_Entry!$Z$5:$Z$104,MATCH($A78,Clinical_Entry!$A$5:$A$104,0)),""))</f>
        <v/>
      </c>
      <c r="G78" s="6">
        <f>IF($A78="","",IFERROR(INDEX(Treatment_Entry!$AA$5:$AA$104,MATCH($A78,Treatment_Entry!$A$5:$A$104,0)),""))</f>
        <v/>
      </c>
      <c r="H78" s="6">
        <f>IF($A78="","",IFERROR(INDEX(Clinical_Entry!$AB$5:$AB$104,MATCH($A78,Clinical_Entry!$A$5:$A$104,0)),""))</f>
        <v/>
      </c>
      <c r="I78" s="6">
        <f>IF($A78="","",IFERROR(INDEX(Clinical_Entry!$AC$5:$AC$104,MATCH($A78,Clinical_Entry!$A$5:$A$104,0)),""))</f>
        <v/>
      </c>
      <c r="J78" s="6">
        <f>IF($A78="","",IFERROR(INDEX(Treatment_Entry!$K$5:$K$104,MATCH($A78,Treatment_Entry!$A$5:$A$104,0)),""))</f>
        <v/>
      </c>
      <c r="K78" s="7">
        <f>IF($A78="","",IFERROR(INDEX(Treatment_Entry!$AC$5:$AC$104,MATCH($A78,Treatment_Entry!$A$5:$A$104,0)),""))</f>
        <v/>
      </c>
      <c r="L78" s="6">
        <f>IF($A78="","",IFERROR(INDEX(Treatment_Entry!$AE$5:$AE$104,MATCH($A78,Treatment_Entry!$A$5:$A$104,0)),""))</f>
        <v/>
      </c>
      <c r="M78" s="8">
        <f>IF($A78="","",IF(AND($E78="Not done",OR($C78="High",$C78="Very High / Locally Advanced",LEFT($C78,2)="M1")),1,0))</f>
        <v/>
      </c>
      <c r="N78" s="8">
        <f>IF($A78="","",IF(AND($F78="Not done",OR($C78="High",$C78="Very High / Locally Advanced")),1,0))</f>
        <v/>
      </c>
      <c r="O78" s="8">
        <f>IF($A78="","",IF($G78="Not started",1,0))</f>
        <v/>
      </c>
      <c r="P78" s="8">
        <f>IF($A78="","",IF($H78="Not done",1,0))</f>
        <v/>
      </c>
      <c r="Q78" s="8">
        <f>IF($A78="","",IF($I78="Not done",1,0))</f>
        <v/>
      </c>
      <c r="R78" s="8">
        <f>IF($A78="","",IF(AND($D78="Hormone-sensitive (HSPC)",$C78="High",$J78="Not initiated"),1,0))</f>
        <v/>
      </c>
      <c r="S78" s="8">
        <f>IF($A78="","",IF($K78="",1,0))</f>
        <v/>
      </c>
      <c r="T78" s="8">
        <f>IF($A78="","",IF(OR($L78="",$L78="Not done"),1,0))</f>
        <v/>
      </c>
      <c r="U78" s="8">
        <f>IF($A78="","",SUM($M78:$O78))</f>
        <v/>
      </c>
      <c r="V78" s="8">
        <f>IF($A78="","",SUM($P78:$R78))</f>
        <v/>
      </c>
      <c r="W78" s="8">
        <f>IF($A78="","",SUM($S78:$T78))</f>
        <v/>
      </c>
      <c r="X78" s="8">
        <f>IF($A78="","",SUM($U78:$W78))</f>
        <v/>
      </c>
      <c r="Y78" s="6">
        <f>IF($A78="","",IF($U78&gt;0,"Urgent",IF($V78&gt;0,"Warning",IF($W78&gt;0,"Info","Closed"))))</f>
        <v/>
      </c>
      <c r="Z78" s="6">
        <f>IF($A78="","",IF($M78=1,"Complete bone scan / SPECT",IF($N78=1,"Complete PSMA PET-CT",IF($O78=1,"Start bone protection plan",IF($P78=1,"Order DEXA",IF($Q78=1,"Order genomics",IF($R78=1,"Review ARSI intensification",IF($S78=1,"Schedule follow-up PSA",IF($T78=1,"Document psychosocial screening","No open gap")))))))))</f>
        <v/>
      </c>
      <c r="AA78" s="6">
        <f>IF($A78="","",IF($X78=0,"No open care gaps",$Y78&amp;" priority · "&amp;$Z78))</f>
        <v/>
      </c>
    </row>
    <row r="79">
      <c r="A79" s="6">
        <f>IF(Demographics_Entry!$A79="","",Demographics_Entry!$A79)</f>
        <v/>
      </c>
      <c r="B79" s="6">
        <f>IF($A79="","",IFERROR(INDEX(Demographics_Entry!$E$5:$E$104,MATCH($A79,Demographics_Entry!$A$5:$A$104,0)),""))</f>
        <v/>
      </c>
      <c r="C79" s="6">
        <f>IF($A79="","",IFERROR(INDEX(Clinical_Entry!$U$5:$U$104,MATCH($A79,Clinical_Entry!$A$5:$A$104,0)),""))</f>
        <v/>
      </c>
      <c r="D79" s="6">
        <f>IF($A79="","",IFERROR(INDEX(Clinical_Entry!$W$5:$W$104,MATCH($A79,Clinical_Entry!$A$5:$A$104,0)),""))</f>
        <v/>
      </c>
      <c r="E79" s="6">
        <f>IF($A79="","",IFERROR(INDEX(Clinical_Entry!$Y$5:$Y$104,MATCH($A79,Clinical_Entry!$A$5:$A$104,0)),""))</f>
        <v/>
      </c>
      <c r="F79" s="6">
        <f>IF($A79="","",IFERROR(INDEX(Clinical_Entry!$Z$5:$Z$104,MATCH($A79,Clinical_Entry!$A$5:$A$104,0)),""))</f>
        <v/>
      </c>
      <c r="G79" s="6">
        <f>IF($A79="","",IFERROR(INDEX(Treatment_Entry!$AA$5:$AA$104,MATCH($A79,Treatment_Entry!$A$5:$A$104,0)),""))</f>
        <v/>
      </c>
      <c r="H79" s="6">
        <f>IF($A79="","",IFERROR(INDEX(Clinical_Entry!$AB$5:$AB$104,MATCH($A79,Clinical_Entry!$A$5:$A$104,0)),""))</f>
        <v/>
      </c>
      <c r="I79" s="6">
        <f>IF($A79="","",IFERROR(INDEX(Clinical_Entry!$AC$5:$AC$104,MATCH($A79,Clinical_Entry!$A$5:$A$104,0)),""))</f>
        <v/>
      </c>
      <c r="J79" s="6">
        <f>IF($A79="","",IFERROR(INDEX(Treatment_Entry!$K$5:$K$104,MATCH($A79,Treatment_Entry!$A$5:$A$104,0)),""))</f>
        <v/>
      </c>
      <c r="K79" s="7">
        <f>IF($A79="","",IFERROR(INDEX(Treatment_Entry!$AC$5:$AC$104,MATCH($A79,Treatment_Entry!$A$5:$A$104,0)),""))</f>
        <v/>
      </c>
      <c r="L79" s="6">
        <f>IF($A79="","",IFERROR(INDEX(Treatment_Entry!$AE$5:$AE$104,MATCH($A79,Treatment_Entry!$A$5:$A$104,0)),""))</f>
        <v/>
      </c>
      <c r="M79" s="8">
        <f>IF($A79="","",IF(AND($E79="Not done",OR($C79="High",$C79="Very High / Locally Advanced",LEFT($C79,2)="M1")),1,0))</f>
        <v/>
      </c>
      <c r="N79" s="8">
        <f>IF($A79="","",IF(AND($F79="Not done",OR($C79="High",$C79="Very High / Locally Advanced")),1,0))</f>
        <v/>
      </c>
      <c r="O79" s="8">
        <f>IF($A79="","",IF($G79="Not started",1,0))</f>
        <v/>
      </c>
      <c r="P79" s="8">
        <f>IF($A79="","",IF($H79="Not done",1,0))</f>
        <v/>
      </c>
      <c r="Q79" s="8">
        <f>IF($A79="","",IF($I79="Not done",1,0))</f>
        <v/>
      </c>
      <c r="R79" s="8">
        <f>IF($A79="","",IF(AND($D79="Hormone-sensitive (HSPC)",$C79="High",$J79="Not initiated"),1,0))</f>
        <v/>
      </c>
      <c r="S79" s="8">
        <f>IF($A79="","",IF($K79="",1,0))</f>
        <v/>
      </c>
      <c r="T79" s="8">
        <f>IF($A79="","",IF(OR($L79="",$L79="Not done"),1,0))</f>
        <v/>
      </c>
      <c r="U79" s="8">
        <f>IF($A79="","",SUM($M79:$O79))</f>
        <v/>
      </c>
      <c r="V79" s="8">
        <f>IF($A79="","",SUM($P79:$R79))</f>
        <v/>
      </c>
      <c r="W79" s="8">
        <f>IF($A79="","",SUM($S79:$T79))</f>
        <v/>
      </c>
      <c r="X79" s="8">
        <f>IF($A79="","",SUM($U79:$W79))</f>
        <v/>
      </c>
      <c r="Y79" s="6">
        <f>IF($A79="","",IF($U79&gt;0,"Urgent",IF($V79&gt;0,"Warning",IF($W79&gt;0,"Info","Closed"))))</f>
        <v/>
      </c>
      <c r="Z79" s="6">
        <f>IF($A79="","",IF($M79=1,"Complete bone scan / SPECT",IF($N79=1,"Complete PSMA PET-CT",IF($O79=1,"Start bone protection plan",IF($P79=1,"Order DEXA",IF($Q79=1,"Order genomics",IF($R79=1,"Review ARSI intensification",IF($S79=1,"Schedule follow-up PSA",IF($T79=1,"Document psychosocial screening","No open gap")))))))))</f>
        <v/>
      </c>
      <c r="AA79" s="6">
        <f>IF($A79="","",IF($X79=0,"No open care gaps",$Y79&amp;" priority · "&amp;$Z79))</f>
        <v/>
      </c>
    </row>
    <row r="80">
      <c r="A80" s="6">
        <f>IF(Demographics_Entry!$A80="","",Demographics_Entry!$A80)</f>
        <v/>
      </c>
      <c r="B80" s="6">
        <f>IF($A80="","",IFERROR(INDEX(Demographics_Entry!$E$5:$E$104,MATCH($A80,Demographics_Entry!$A$5:$A$104,0)),""))</f>
        <v/>
      </c>
      <c r="C80" s="6">
        <f>IF($A80="","",IFERROR(INDEX(Clinical_Entry!$U$5:$U$104,MATCH($A80,Clinical_Entry!$A$5:$A$104,0)),""))</f>
        <v/>
      </c>
      <c r="D80" s="6">
        <f>IF($A80="","",IFERROR(INDEX(Clinical_Entry!$W$5:$W$104,MATCH($A80,Clinical_Entry!$A$5:$A$104,0)),""))</f>
        <v/>
      </c>
      <c r="E80" s="6">
        <f>IF($A80="","",IFERROR(INDEX(Clinical_Entry!$Y$5:$Y$104,MATCH($A80,Clinical_Entry!$A$5:$A$104,0)),""))</f>
        <v/>
      </c>
      <c r="F80" s="6">
        <f>IF($A80="","",IFERROR(INDEX(Clinical_Entry!$Z$5:$Z$104,MATCH($A80,Clinical_Entry!$A$5:$A$104,0)),""))</f>
        <v/>
      </c>
      <c r="G80" s="6">
        <f>IF($A80="","",IFERROR(INDEX(Treatment_Entry!$AA$5:$AA$104,MATCH($A80,Treatment_Entry!$A$5:$A$104,0)),""))</f>
        <v/>
      </c>
      <c r="H80" s="6">
        <f>IF($A80="","",IFERROR(INDEX(Clinical_Entry!$AB$5:$AB$104,MATCH($A80,Clinical_Entry!$A$5:$A$104,0)),""))</f>
        <v/>
      </c>
      <c r="I80" s="6">
        <f>IF($A80="","",IFERROR(INDEX(Clinical_Entry!$AC$5:$AC$104,MATCH($A80,Clinical_Entry!$A$5:$A$104,0)),""))</f>
        <v/>
      </c>
      <c r="J80" s="6">
        <f>IF($A80="","",IFERROR(INDEX(Treatment_Entry!$K$5:$K$104,MATCH($A80,Treatment_Entry!$A$5:$A$104,0)),""))</f>
        <v/>
      </c>
      <c r="K80" s="7">
        <f>IF($A80="","",IFERROR(INDEX(Treatment_Entry!$AC$5:$AC$104,MATCH($A80,Treatment_Entry!$A$5:$A$104,0)),""))</f>
        <v/>
      </c>
      <c r="L80" s="6">
        <f>IF($A80="","",IFERROR(INDEX(Treatment_Entry!$AE$5:$AE$104,MATCH($A80,Treatment_Entry!$A$5:$A$104,0)),""))</f>
        <v/>
      </c>
      <c r="M80" s="8">
        <f>IF($A80="","",IF(AND($E80="Not done",OR($C80="High",$C80="Very High / Locally Advanced",LEFT($C80,2)="M1")),1,0))</f>
        <v/>
      </c>
      <c r="N80" s="8">
        <f>IF($A80="","",IF(AND($F80="Not done",OR($C80="High",$C80="Very High / Locally Advanced")),1,0))</f>
        <v/>
      </c>
      <c r="O80" s="8">
        <f>IF($A80="","",IF($G80="Not started",1,0))</f>
        <v/>
      </c>
      <c r="P80" s="8">
        <f>IF($A80="","",IF($H80="Not done",1,0))</f>
        <v/>
      </c>
      <c r="Q80" s="8">
        <f>IF($A80="","",IF($I80="Not done",1,0))</f>
        <v/>
      </c>
      <c r="R80" s="8">
        <f>IF($A80="","",IF(AND($D80="Hormone-sensitive (HSPC)",$C80="High",$J80="Not initiated"),1,0))</f>
        <v/>
      </c>
      <c r="S80" s="8">
        <f>IF($A80="","",IF($K80="",1,0))</f>
        <v/>
      </c>
      <c r="T80" s="8">
        <f>IF($A80="","",IF(OR($L80="",$L80="Not done"),1,0))</f>
        <v/>
      </c>
      <c r="U80" s="8">
        <f>IF($A80="","",SUM($M80:$O80))</f>
        <v/>
      </c>
      <c r="V80" s="8">
        <f>IF($A80="","",SUM($P80:$R80))</f>
        <v/>
      </c>
      <c r="W80" s="8">
        <f>IF($A80="","",SUM($S80:$T80))</f>
        <v/>
      </c>
      <c r="X80" s="8">
        <f>IF($A80="","",SUM($U80:$W80))</f>
        <v/>
      </c>
      <c r="Y80" s="6">
        <f>IF($A80="","",IF($U80&gt;0,"Urgent",IF($V80&gt;0,"Warning",IF($W80&gt;0,"Info","Closed"))))</f>
        <v/>
      </c>
      <c r="Z80" s="6">
        <f>IF($A80="","",IF($M80=1,"Complete bone scan / SPECT",IF($N80=1,"Complete PSMA PET-CT",IF($O80=1,"Start bone protection plan",IF($P80=1,"Order DEXA",IF($Q80=1,"Order genomics",IF($R80=1,"Review ARSI intensification",IF($S80=1,"Schedule follow-up PSA",IF($T80=1,"Document psychosocial screening","No open gap")))))))))</f>
        <v/>
      </c>
      <c r="AA80" s="6">
        <f>IF($A80="","",IF($X80=0,"No open care gaps",$Y80&amp;" priority · "&amp;$Z80))</f>
        <v/>
      </c>
    </row>
    <row r="81">
      <c r="A81" s="6">
        <f>IF(Demographics_Entry!$A81="","",Demographics_Entry!$A81)</f>
        <v/>
      </c>
      <c r="B81" s="6">
        <f>IF($A81="","",IFERROR(INDEX(Demographics_Entry!$E$5:$E$104,MATCH($A81,Demographics_Entry!$A$5:$A$104,0)),""))</f>
        <v/>
      </c>
      <c r="C81" s="6">
        <f>IF($A81="","",IFERROR(INDEX(Clinical_Entry!$U$5:$U$104,MATCH($A81,Clinical_Entry!$A$5:$A$104,0)),""))</f>
        <v/>
      </c>
      <c r="D81" s="6">
        <f>IF($A81="","",IFERROR(INDEX(Clinical_Entry!$W$5:$W$104,MATCH($A81,Clinical_Entry!$A$5:$A$104,0)),""))</f>
        <v/>
      </c>
      <c r="E81" s="6">
        <f>IF($A81="","",IFERROR(INDEX(Clinical_Entry!$Y$5:$Y$104,MATCH($A81,Clinical_Entry!$A$5:$A$104,0)),""))</f>
        <v/>
      </c>
      <c r="F81" s="6">
        <f>IF($A81="","",IFERROR(INDEX(Clinical_Entry!$Z$5:$Z$104,MATCH($A81,Clinical_Entry!$A$5:$A$104,0)),""))</f>
        <v/>
      </c>
      <c r="G81" s="6">
        <f>IF($A81="","",IFERROR(INDEX(Treatment_Entry!$AA$5:$AA$104,MATCH($A81,Treatment_Entry!$A$5:$A$104,0)),""))</f>
        <v/>
      </c>
      <c r="H81" s="6">
        <f>IF($A81="","",IFERROR(INDEX(Clinical_Entry!$AB$5:$AB$104,MATCH($A81,Clinical_Entry!$A$5:$A$104,0)),""))</f>
        <v/>
      </c>
      <c r="I81" s="6">
        <f>IF($A81="","",IFERROR(INDEX(Clinical_Entry!$AC$5:$AC$104,MATCH($A81,Clinical_Entry!$A$5:$A$104,0)),""))</f>
        <v/>
      </c>
      <c r="J81" s="6">
        <f>IF($A81="","",IFERROR(INDEX(Treatment_Entry!$K$5:$K$104,MATCH($A81,Treatment_Entry!$A$5:$A$104,0)),""))</f>
        <v/>
      </c>
      <c r="K81" s="7">
        <f>IF($A81="","",IFERROR(INDEX(Treatment_Entry!$AC$5:$AC$104,MATCH($A81,Treatment_Entry!$A$5:$A$104,0)),""))</f>
        <v/>
      </c>
      <c r="L81" s="6">
        <f>IF($A81="","",IFERROR(INDEX(Treatment_Entry!$AE$5:$AE$104,MATCH($A81,Treatment_Entry!$A$5:$A$104,0)),""))</f>
        <v/>
      </c>
      <c r="M81" s="8">
        <f>IF($A81="","",IF(AND($E81="Not done",OR($C81="High",$C81="Very High / Locally Advanced",LEFT($C81,2)="M1")),1,0))</f>
        <v/>
      </c>
      <c r="N81" s="8">
        <f>IF($A81="","",IF(AND($F81="Not done",OR($C81="High",$C81="Very High / Locally Advanced")),1,0))</f>
        <v/>
      </c>
      <c r="O81" s="8">
        <f>IF($A81="","",IF($G81="Not started",1,0))</f>
        <v/>
      </c>
      <c r="P81" s="8">
        <f>IF($A81="","",IF($H81="Not done",1,0))</f>
        <v/>
      </c>
      <c r="Q81" s="8">
        <f>IF($A81="","",IF($I81="Not done",1,0))</f>
        <v/>
      </c>
      <c r="R81" s="8">
        <f>IF($A81="","",IF(AND($D81="Hormone-sensitive (HSPC)",$C81="High",$J81="Not initiated"),1,0))</f>
        <v/>
      </c>
      <c r="S81" s="8">
        <f>IF($A81="","",IF($K81="",1,0))</f>
        <v/>
      </c>
      <c r="T81" s="8">
        <f>IF($A81="","",IF(OR($L81="",$L81="Not done"),1,0))</f>
        <v/>
      </c>
      <c r="U81" s="8">
        <f>IF($A81="","",SUM($M81:$O81))</f>
        <v/>
      </c>
      <c r="V81" s="8">
        <f>IF($A81="","",SUM($P81:$R81))</f>
        <v/>
      </c>
      <c r="W81" s="8">
        <f>IF($A81="","",SUM($S81:$T81))</f>
        <v/>
      </c>
      <c r="X81" s="8">
        <f>IF($A81="","",SUM($U81:$W81))</f>
        <v/>
      </c>
      <c r="Y81" s="6">
        <f>IF($A81="","",IF($U81&gt;0,"Urgent",IF($V81&gt;0,"Warning",IF($W81&gt;0,"Info","Closed"))))</f>
        <v/>
      </c>
      <c r="Z81" s="6">
        <f>IF($A81="","",IF($M81=1,"Complete bone scan / SPECT",IF($N81=1,"Complete PSMA PET-CT",IF($O81=1,"Start bone protection plan",IF($P81=1,"Order DEXA",IF($Q81=1,"Order genomics",IF($R81=1,"Review ARSI intensification",IF($S81=1,"Schedule follow-up PSA",IF($T81=1,"Document psychosocial screening","No open gap")))))))))</f>
        <v/>
      </c>
      <c r="AA81" s="6">
        <f>IF($A81="","",IF($X81=0,"No open care gaps",$Y81&amp;" priority · "&amp;$Z81))</f>
        <v/>
      </c>
    </row>
    <row r="82">
      <c r="A82" s="6">
        <f>IF(Demographics_Entry!$A82="","",Demographics_Entry!$A82)</f>
        <v/>
      </c>
      <c r="B82" s="6">
        <f>IF($A82="","",IFERROR(INDEX(Demographics_Entry!$E$5:$E$104,MATCH($A82,Demographics_Entry!$A$5:$A$104,0)),""))</f>
        <v/>
      </c>
      <c r="C82" s="6">
        <f>IF($A82="","",IFERROR(INDEX(Clinical_Entry!$U$5:$U$104,MATCH($A82,Clinical_Entry!$A$5:$A$104,0)),""))</f>
        <v/>
      </c>
      <c r="D82" s="6">
        <f>IF($A82="","",IFERROR(INDEX(Clinical_Entry!$W$5:$W$104,MATCH($A82,Clinical_Entry!$A$5:$A$104,0)),""))</f>
        <v/>
      </c>
      <c r="E82" s="6">
        <f>IF($A82="","",IFERROR(INDEX(Clinical_Entry!$Y$5:$Y$104,MATCH($A82,Clinical_Entry!$A$5:$A$104,0)),""))</f>
        <v/>
      </c>
      <c r="F82" s="6">
        <f>IF($A82="","",IFERROR(INDEX(Clinical_Entry!$Z$5:$Z$104,MATCH($A82,Clinical_Entry!$A$5:$A$104,0)),""))</f>
        <v/>
      </c>
      <c r="G82" s="6">
        <f>IF($A82="","",IFERROR(INDEX(Treatment_Entry!$AA$5:$AA$104,MATCH($A82,Treatment_Entry!$A$5:$A$104,0)),""))</f>
        <v/>
      </c>
      <c r="H82" s="6">
        <f>IF($A82="","",IFERROR(INDEX(Clinical_Entry!$AB$5:$AB$104,MATCH($A82,Clinical_Entry!$A$5:$A$104,0)),""))</f>
        <v/>
      </c>
      <c r="I82" s="6">
        <f>IF($A82="","",IFERROR(INDEX(Clinical_Entry!$AC$5:$AC$104,MATCH($A82,Clinical_Entry!$A$5:$A$104,0)),""))</f>
        <v/>
      </c>
      <c r="J82" s="6">
        <f>IF($A82="","",IFERROR(INDEX(Treatment_Entry!$K$5:$K$104,MATCH($A82,Treatment_Entry!$A$5:$A$104,0)),""))</f>
        <v/>
      </c>
      <c r="K82" s="7">
        <f>IF($A82="","",IFERROR(INDEX(Treatment_Entry!$AC$5:$AC$104,MATCH($A82,Treatment_Entry!$A$5:$A$104,0)),""))</f>
        <v/>
      </c>
      <c r="L82" s="6">
        <f>IF($A82="","",IFERROR(INDEX(Treatment_Entry!$AE$5:$AE$104,MATCH($A82,Treatment_Entry!$A$5:$A$104,0)),""))</f>
        <v/>
      </c>
      <c r="M82" s="8">
        <f>IF($A82="","",IF(AND($E82="Not done",OR($C82="High",$C82="Very High / Locally Advanced",LEFT($C82,2)="M1")),1,0))</f>
        <v/>
      </c>
      <c r="N82" s="8">
        <f>IF($A82="","",IF(AND($F82="Not done",OR($C82="High",$C82="Very High / Locally Advanced")),1,0))</f>
        <v/>
      </c>
      <c r="O82" s="8">
        <f>IF($A82="","",IF($G82="Not started",1,0))</f>
        <v/>
      </c>
      <c r="P82" s="8">
        <f>IF($A82="","",IF($H82="Not done",1,0))</f>
        <v/>
      </c>
      <c r="Q82" s="8">
        <f>IF($A82="","",IF($I82="Not done",1,0))</f>
        <v/>
      </c>
      <c r="R82" s="8">
        <f>IF($A82="","",IF(AND($D82="Hormone-sensitive (HSPC)",$C82="High",$J82="Not initiated"),1,0))</f>
        <v/>
      </c>
      <c r="S82" s="8">
        <f>IF($A82="","",IF($K82="",1,0))</f>
        <v/>
      </c>
      <c r="T82" s="8">
        <f>IF($A82="","",IF(OR($L82="",$L82="Not done"),1,0))</f>
        <v/>
      </c>
      <c r="U82" s="8">
        <f>IF($A82="","",SUM($M82:$O82))</f>
        <v/>
      </c>
      <c r="V82" s="8">
        <f>IF($A82="","",SUM($P82:$R82))</f>
        <v/>
      </c>
      <c r="W82" s="8">
        <f>IF($A82="","",SUM($S82:$T82))</f>
        <v/>
      </c>
      <c r="X82" s="8">
        <f>IF($A82="","",SUM($U82:$W82))</f>
        <v/>
      </c>
      <c r="Y82" s="6">
        <f>IF($A82="","",IF($U82&gt;0,"Urgent",IF($V82&gt;0,"Warning",IF($W82&gt;0,"Info","Closed"))))</f>
        <v/>
      </c>
      <c r="Z82" s="6">
        <f>IF($A82="","",IF($M82=1,"Complete bone scan / SPECT",IF($N82=1,"Complete PSMA PET-CT",IF($O82=1,"Start bone protection plan",IF($P82=1,"Order DEXA",IF($Q82=1,"Order genomics",IF($R82=1,"Review ARSI intensification",IF($S82=1,"Schedule follow-up PSA",IF($T82=1,"Document psychosocial screening","No open gap")))))))))</f>
        <v/>
      </c>
      <c r="AA82" s="6">
        <f>IF($A82="","",IF($X82=0,"No open care gaps",$Y82&amp;" priority · "&amp;$Z82))</f>
        <v/>
      </c>
    </row>
    <row r="83">
      <c r="A83" s="6">
        <f>IF(Demographics_Entry!$A83="","",Demographics_Entry!$A83)</f>
        <v/>
      </c>
      <c r="B83" s="6">
        <f>IF($A83="","",IFERROR(INDEX(Demographics_Entry!$E$5:$E$104,MATCH($A83,Demographics_Entry!$A$5:$A$104,0)),""))</f>
        <v/>
      </c>
      <c r="C83" s="6">
        <f>IF($A83="","",IFERROR(INDEX(Clinical_Entry!$U$5:$U$104,MATCH($A83,Clinical_Entry!$A$5:$A$104,0)),""))</f>
        <v/>
      </c>
      <c r="D83" s="6">
        <f>IF($A83="","",IFERROR(INDEX(Clinical_Entry!$W$5:$W$104,MATCH($A83,Clinical_Entry!$A$5:$A$104,0)),""))</f>
        <v/>
      </c>
      <c r="E83" s="6">
        <f>IF($A83="","",IFERROR(INDEX(Clinical_Entry!$Y$5:$Y$104,MATCH($A83,Clinical_Entry!$A$5:$A$104,0)),""))</f>
        <v/>
      </c>
      <c r="F83" s="6">
        <f>IF($A83="","",IFERROR(INDEX(Clinical_Entry!$Z$5:$Z$104,MATCH($A83,Clinical_Entry!$A$5:$A$104,0)),""))</f>
        <v/>
      </c>
      <c r="G83" s="6">
        <f>IF($A83="","",IFERROR(INDEX(Treatment_Entry!$AA$5:$AA$104,MATCH($A83,Treatment_Entry!$A$5:$A$104,0)),""))</f>
        <v/>
      </c>
      <c r="H83" s="6">
        <f>IF($A83="","",IFERROR(INDEX(Clinical_Entry!$AB$5:$AB$104,MATCH($A83,Clinical_Entry!$A$5:$A$104,0)),""))</f>
        <v/>
      </c>
      <c r="I83" s="6">
        <f>IF($A83="","",IFERROR(INDEX(Clinical_Entry!$AC$5:$AC$104,MATCH($A83,Clinical_Entry!$A$5:$A$104,0)),""))</f>
        <v/>
      </c>
      <c r="J83" s="6">
        <f>IF($A83="","",IFERROR(INDEX(Treatment_Entry!$K$5:$K$104,MATCH($A83,Treatment_Entry!$A$5:$A$104,0)),""))</f>
        <v/>
      </c>
      <c r="K83" s="7">
        <f>IF($A83="","",IFERROR(INDEX(Treatment_Entry!$AC$5:$AC$104,MATCH($A83,Treatment_Entry!$A$5:$A$104,0)),""))</f>
        <v/>
      </c>
      <c r="L83" s="6">
        <f>IF($A83="","",IFERROR(INDEX(Treatment_Entry!$AE$5:$AE$104,MATCH($A83,Treatment_Entry!$A$5:$A$104,0)),""))</f>
        <v/>
      </c>
      <c r="M83" s="8">
        <f>IF($A83="","",IF(AND($E83="Not done",OR($C83="High",$C83="Very High / Locally Advanced",LEFT($C83,2)="M1")),1,0))</f>
        <v/>
      </c>
      <c r="N83" s="8">
        <f>IF($A83="","",IF(AND($F83="Not done",OR($C83="High",$C83="Very High / Locally Advanced")),1,0))</f>
        <v/>
      </c>
      <c r="O83" s="8">
        <f>IF($A83="","",IF($G83="Not started",1,0))</f>
        <v/>
      </c>
      <c r="P83" s="8">
        <f>IF($A83="","",IF($H83="Not done",1,0))</f>
        <v/>
      </c>
      <c r="Q83" s="8">
        <f>IF($A83="","",IF($I83="Not done",1,0))</f>
        <v/>
      </c>
      <c r="R83" s="8">
        <f>IF($A83="","",IF(AND($D83="Hormone-sensitive (HSPC)",$C83="High",$J83="Not initiated"),1,0))</f>
        <v/>
      </c>
      <c r="S83" s="8">
        <f>IF($A83="","",IF($K83="",1,0))</f>
        <v/>
      </c>
      <c r="T83" s="8">
        <f>IF($A83="","",IF(OR($L83="",$L83="Not done"),1,0))</f>
        <v/>
      </c>
      <c r="U83" s="8">
        <f>IF($A83="","",SUM($M83:$O83))</f>
        <v/>
      </c>
      <c r="V83" s="8">
        <f>IF($A83="","",SUM($P83:$R83))</f>
        <v/>
      </c>
      <c r="W83" s="8">
        <f>IF($A83="","",SUM($S83:$T83))</f>
        <v/>
      </c>
      <c r="X83" s="8">
        <f>IF($A83="","",SUM($U83:$W83))</f>
        <v/>
      </c>
      <c r="Y83" s="6">
        <f>IF($A83="","",IF($U83&gt;0,"Urgent",IF($V83&gt;0,"Warning",IF($W83&gt;0,"Info","Closed"))))</f>
        <v/>
      </c>
      <c r="Z83" s="6">
        <f>IF($A83="","",IF($M83=1,"Complete bone scan / SPECT",IF($N83=1,"Complete PSMA PET-CT",IF($O83=1,"Start bone protection plan",IF($P83=1,"Order DEXA",IF($Q83=1,"Order genomics",IF($R83=1,"Review ARSI intensification",IF($S83=1,"Schedule follow-up PSA",IF($T83=1,"Document psychosocial screening","No open gap")))))))))</f>
        <v/>
      </c>
      <c r="AA83" s="6">
        <f>IF($A83="","",IF($X83=0,"No open care gaps",$Y83&amp;" priority · "&amp;$Z83))</f>
        <v/>
      </c>
    </row>
    <row r="84">
      <c r="A84" s="6">
        <f>IF(Demographics_Entry!$A84="","",Demographics_Entry!$A84)</f>
        <v/>
      </c>
      <c r="B84" s="6">
        <f>IF($A84="","",IFERROR(INDEX(Demographics_Entry!$E$5:$E$104,MATCH($A84,Demographics_Entry!$A$5:$A$104,0)),""))</f>
        <v/>
      </c>
      <c r="C84" s="6">
        <f>IF($A84="","",IFERROR(INDEX(Clinical_Entry!$U$5:$U$104,MATCH($A84,Clinical_Entry!$A$5:$A$104,0)),""))</f>
        <v/>
      </c>
      <c r="D84" s="6">
        <f>IF($A84="","",IFERROR(INDEX(Clinical_Entry!$W$5:$W$104,MATCH($A84,Clinical_Entry!$A$5:$A$104,0)),""))</f>
        <v/>
      </c>
      <c r="E84" s="6">
        <f>IF($A84="","",IFERROR(INDEX(Clinical_Entry!$Y$5:$Y$104,MATCH($A84,Clinical_Entry!$A$5:$A$104,0)),""))</f>
        <v/>
      </c>
      <c r="F84" s="6">
        <f>IF($A84="","",IFERROR(INDEX(Clinical_Entry!$Z$5:$Z$104,MATCH($A84,Clinical_Entry!$A$5:$A$104,0)),""))</f>
        <v/>
      </c>
      <c r="G84" s="6">
        <f>IF($A84="","",IFERROR(INDEX(Treatment_Entry!$AA$5:$AA$104,MATCH($A84,Treatment_Entry!$A$5:$A$104,0)),""))</f>
        <v/>
      </c>
      <c r="H84" s="6">
        <f>IF($A84="","",IFERROR(INDEX(Clinical_Entry!$AB$5:$AB$104,MATCH($A84,Clinical_Entry!$A$5:$A$104,0)),""))</f>
        <v/>
      </c>
      <c r="I84" s="6">
        <f>IF($A84="","",IFERROR(INDEX(Clinical_Entry!$AC$5:$AC$104,MATCH($A84,Clinical_Entry!$A$5:$A$104,0)),""))</f>
        <v/>
      </c>
      <c r="J84" s="6">
        <f>IF($A84="","",IFERROR(INDEX(Treatment_Entry!$K$5:$K$104,MATCH($A84,Treatment_Entry!$A$5:$A$104,0)),""))</f>
        <v/>
      </c>
      <c r="K84" s="7">
        <f>IF($A84="","",IFERROR(INDEX(Treatment_Entry!$AC$5:$AC$104,MATCH($A84,Treatment_Entry!$A$5:$A$104,0)),""))</f>
        <v/>
      </c>
      <c r="L84" s="6">
        <f>IF($A84="","",IFERROR(INDEX(Treatment_Entry!$AE$5:$AE$104,MATCH($A84,Treatment_Entry!$A$5:$A$104,0)),""))</f>
        <v/>
      </c>
      <c r="M84" s="8">
        <f>IF($A84="","",IF(AND($E84="Not done",OR($C84="High",$C84="Very High / Locally Advanced",LEFT($C84,2)="M1")),1,0))</f>
        <v/>
      </c>
      <c r="N84" s="8">
        <f>IF($A84="","",IF(AND($F84="Not done",OR($C84="High",$C84="Very High / Locally Advanced")),1,0))</f>
        <v/>
      </c>
      <c r="O84" s="8">
        <f>IF($A84="","",IF($G84="Not started",1,0))</f>
        <v/>
      </c>
      <c r="P84" s="8">
        <f>IF($A84="","",IF($H84="Not done",1,0))</f>
        <v/>
      </c>
      <c r="Q84" s="8">
        <f>IF($A84="","",IF($I84="Not done",1,0))</f>
        <v/>
      </c>
      <c r="R84" s="8">
        <f>IF($A84="","",IF(AND($D84="Hormone-sensitive (HSPC)",$C84="High",$J84="Not initiated"),1,0))</f>
        <v/>
      </c>
      <c r="S84" s="8">
        <f>IF($A84="","",IF($K84="",1,0))</f>
        <v/>
      </c>
      <c r="T84" s="8">
        <f>IF($A84="","",IF(OR($L84="",$L84="Not done"),1,0))</f>
        <v/>
      </c>
      <c r="U84" s="8">
        <f>IF($A84="","",SUM($M84:$O84))</f>
        <v/>
      </c>
      <c r="V84" s="8">
        <f>IF($A84="","",SUM($P84:$R84))</f>
        <v/>
      </c>
      <c r="W84" s="8">
        <f>IF($A84="","",SUM($S84:$T84))</f>
        <v/>
      </c>
      <c r="X84" s="8">
        <f>IF($A84="","",SUM($U84:$W84))</f>
        <v/>
      </c>
      <c r="Y84" s="6">
        <f>IF($A84="","",IF($U84&gt;0,"Urgent",IF($V84&gt;0,"Warning",IF($W84&gt;0,"Info","Closed"))))</f>
        <v/>
      </c>
      <c r="Z84" s="6">
        <f>IF($A84="","",IF($M84=1,"Complete bone scan / SPECT",IF($N84=1,"Complete PSMA PET-CT",IF($O84=1,"Start bone protection plan",IF($P84=1,"Order DEXA",IF($Q84=1,"Order genomics",IF($R84=1,"Review ARSI intensification",IF($S84=1,"Schedule follow-up PSA",IF($T84=1,"Document psychosocial screening","No open gap")))))))))</f>
        <v/>
      </c>
      <c r="AA84" s="6">
        <f>IF($A84="","",IF($X84=0,"No open care gaps",$Y84&amp;" priority · "&amp;$Z84))</f>
        <v/>
      </c>
    </row>
    <row r="85">
      <c r="A85" s="6">
        <f>IF(Demographics_Entry!$A85="","",Demographics_Entry!$A85)</f>
        <v/>
      </c>
      <c r="B85" s="6">
        <f>IF($A85="","",IFERROR(INDEX(Demographics_Entry!$E$5:$E$104,MATCH($A85,Demographics_Entry!$A$5:$A$104,0)),""))</f>
        <v/>
      </c>
      <c r="C85" s="6">
        <f>IF($A85="","",IFERROR(INDEX(Clinical_Entry!$U$5:$U$104,MATCH($A85,Clinical_Entry!$A$5:$A$104,0)),""))</f>
        <v/>
      </c>
      <c r="D85" s="6">
        <f>IF($A85="","",IFERROR(INDEX(Clinical_Entry!$W$5:$W$104,MATCH($A85,Clinical_Entry!$A$5:$A$104,0)),""))</f>
        <v/>
      </c>
      <c r="E85" s="6">
        <f>IF($A85="","",IFERROR(INDEX(Clinical_Entry!$Y$5:$Y$104,MATCH($A85,Clinical_Entry!$A$5:$A$104,0)),""))</f>
        <v/>
      </c>
      <c r="F85" s="6">
        <f>IF($A85="","",IFERROR(INDEX(Clinical_Entry!$Z$5:$Z$104,MATCH($A85,Clinical_Entry!$A$5:$A$104,0)),""))</f>
        <v/>
      </c>
      <c r="G85" s="6">
        <f>IF($A85="","",IFERROR(INDEX(Treatment_Entry!$AA$5:$AA$104,MATCH($A85,Treatment_Entry!$A$5:$A$104,0)),""))</f>
        <v/>
      </c>
      <c r="H85" s="6">
        <f>IF($A85="","",IFERROR(INDEX(Clinical_Entry!$AB$5:$AB$104,MATCH($A85,Clinical_Entry!$A$5:$A$104,0)),""))</f>
        <v/>
      </c>
      <c r="I85" s="6">
        <f>IF($A85="","",IFERROR(INDEX(Clinical_Entry!$AC$5:$AC$104,MATCH($A85,Clinical_Entry!$A$5:$A$104,0)),""))</f>
        <v/>
      </c>
      <c r="J85" s="6">
        <f>IF($A85="","",IFERROR(INDEX(Treatment_Entry!$K$5:$K$104,MATCH($A85,Treatment_Entry!$A$5:$A$104,0)),""))</f>
        <v/>
      </c>
      <c r="K85" s="7">
        <f>IF($A85="","",IFERROR(INDEX(Treatment_Entry!$AC$5:$AC$104,MATCH($A85,Treatment_Entry!$A$5:$A$104,0)),""))</f>
        <v/>
      </c>
      <c r="L85" s="6">
        <f>IF($A85="","",IFERROR(INDEX(Treatment_Entry!$AE$5:$AE$104,MATCH($A85,Treatment_Entry!$A$5:$A$104,0)),""))</f>
        <v/>
      </c>
      <c r="M85" s="8">
        <f>IF($A85="","",IF(AND($E85="Not done",OR($C85="High",$C85="Very High / Locally Advanced",LEFT($C85,2)="M1")),1,0))</f>
        <v/>
      </c>
      <c r="N85" s="8">
        <f>IF($A85="","",IF(AND($F85="Not done",OR($C85="High",$C85="Very High / Locally Advanced")),1,0))</f>
        <v/>
      </c>
      <c r="O85" s="8">
        <f>IF($A85="","",IF($G85="Not started",1,0))</f>
        <v/>
      </c>
      <c r="P85" s="8">
        <f>IF($A85="","",IF($H85="Not done",1,0))</f>
        <v/>
      </c>
      <c r="Q85" s="8">
        <f>IF($A85="","",IF($I85="Not done",1,0))</f>
        <v/>
      </c>
      <c r="R85" s="8">
        <f>IF($A85="","",IF(AND($D85="Hormone-sensitive (HSPC)",$C85="High",$J85="Not initiated"),1,0))</f>
        <v/>
      </c>
      <c r="S85" s="8">
        <f>IF($A85="","",IF($K85="",1,0))</f>
        <v/>
      </c>
      <c r="T85" s="8">
        <f>IF($A85="","",IF(OR($L85="",$L85="Not done"),1,0))</f>
        <v/>
      </c>
      <c r="U85" s="8">
        <f>IF($A85="","",SUM($M85:$O85))</f>
        <v/>
      </c>
      <c r="V85" s="8">
        <f>IF($A85="","",SUM($P85:$R85))</f>
        <v/>
      </c>
      <c r="W85" s="8">
        <f>IF($A85="","",SUM($S85:$T85))</f>
        <v/>
      </c>
      <c r="X85" s="8">
        <f>IF($A85="","",SUM($U85:$W85))</f>
        <v/>
      </c>
      <c r="Y85" s="6">
        <f>IF($A85="","",IF($U85&gt;0,"Urgent",IF($V85&gt;0,"Warning",IF($W85&gt;0,"Info","Closed"))))</f>
        <v/>
      </c>
      <c r="Z85" s="6">
        <f>IF($A85="","",IF($M85=1,"Complete bone scan / SPECT",IF($N85=1,"Complete PSMA PET-CT",IF($O85=1,"Start bone protection plan",IF($P85=1,"Order DEXA",IF($Q85=1,"Order genomics",IF($R85=1,"Review ARSI intensification",IF($S85=1,"Schedule follow-up PSA",IF($T85=1,"Document psychosocial screening","No open gap")))))))))</f>
        <v/>
      </c>
      <c r="AA85" s="6">
        <f>IF($A85="","",IF($X85=0,"No open care gaps",$Y85&amp;" priority · "&amp;$Z85))</f>
        <v/>
      </c>
    </row>
    <row r="86">
      <c r="A86" s="6">
        <f>IF(Demographics_Entry!$A86="","",Demographics_Entry!$A86)</f>
        <v/>
      </c>
      <c r="B86" s="6">
        <f>IF($A86="","",IFERROR(INDEX(Demographics_Entry!$E$5:$E$104,MATCH($A86,Demographics_Entry!$A$5:$A$104,0)),""))</f>
        <v/>
      </c>
      <c r="C86" s="6">
        <f>IF($A86="","",IFERROR(INDEX(Clinical_Entry!$U$5:$U$104,MATCH($A86,Clinical_Entry!$A$5:$A$104,0)),""))</f>
        <v/>
      </c>
      <c r="D86" s="6">
        <f>IF($A86="","",IFERROR(INDEX(Clinical_Entry!$W$5:$W$104,MATCH($A86,Clinical_Entry!$A$5:$A$104,0)),""))</f>
        <v/>
      </c>
      <c r="E86" s="6">
        <f>IF($A86="","",IFERROR(INDEX(Clinical_Entry!$Y$5:$Y$104,MATCH($A86,Clinical_Entry!$A$5:$A$104,0)),""))</f>
        <v/>
      </c>
      <c r="F86" s="6">
        <f>IF($A86="","",IFERROR(INDEX(Clinical_Entry!$Z$5:$Z$104,MATCH($A86,Clinical_Entry!$A$5:$A$104,0)),""))</f>
        <v/>
      </c>
      <c r="G86" s="6">
        <f>IF($A86="","",IFERROR(INDEX(Treatment_Entry!$AA$5:$AA$104,MATCH($A86,Treatment_Entry!$A$5:$A$104,0)),""))</f>
        <v/>
      </c>
      <c r="H86" s="6">
        <f>IF($A86="","",IFERROR(INDEX(Clinical_Entry!$AB$5:$AB$104,MATCH($A86,Clinical_Entry!$A$5:$A$104,0)),""))</f>
        <v/>
      </c>
      <c r="I86" s="6">
        <f>IF($A86="","",IFERROR(INDEX(Clinical_Entry!$AC$5:$AC$104,MATCH($A86,Clinical_Entry!$A$5:$A$104,0)),""))</f>
        <v/>
      </c>
      <c r="J86" s="6">
        <f>IF($A86="","",IFERROR(INDEX(Treatment_Entry!$K$5:$K$104,MATCH($A86,Treatment_Entry!$A$5:$A$104,0)),""))</f>
        <v/>
      </c>
      <c r="K86" s="7">
        <f>IF($A86="","",IFERROR(INDEX(Treatment_Entry!$AC$5:$AC$104,MATCH($A86,Treatment_Entry!$A$5:$A$104,0)),""))</f>
        <v/>
      </c>
      <c r="L86" s="6">
        <f>IF($A86="","",IFERROR(INDEX(Treatment_Entry!$AE$5:$AE$104,MATCH($A86,Treatment_Entry!$A$5:$A$104,0)),""))</f>
        <v/>
      </c>
      <c r="M86" s="8">
        <f>IF($A86="","",IF(AND($E86="Not done",OR($C86="High",$C86="Very High / Locally Advanced",LEFT($C86,2)="M1")),1,0))</f>
        <v/>
      </c>
      <c r="N86" s="8">
        <f>IF($A86="","",IF(AND($F86="Not done",OR($C86="High",$C86="Very High / Locally Advanced")),1,0))</f>
        <v/>
      </c>
      <c r="O86" s="8">
        <f>IF($A86="","",IF($G86="Not started",1,0))</f>
        <v/>
      </c>
      <c r="P86" s="8">
        <f>IF($A86="","",IF($H86="Not done",1,0))</f>
        <v/>
      </c>
      <c r="Q86" s="8">
        <f>IF($A86="","",IF($I86="Not done",1,0))</f>
        <v/>
      </c>
      <c r="R86" s="8">
        <f>IF($A86="","",IF(AND($D86="Hormone-sensitive (HSPC)",$C86="High",$J86="Not initiated"),1,0))</f>
        <v/>
      </c>
      <c r="S86" s="8">
        <f>IF($A86="","",IF($K86="",1,0))</f>
        <v/>
      </c>
      <c r="T86" s="8">
        <f>IF($A86="","",IF(OR($L86="",$L86="Not done"),1,0))</f>
        <v/>
      </c>
      <c r="U86" s="8">
        <f>IF($A86="","",SUM($M86:$O86))</f>
        <v/>
      </c>
      <c r="V86" s="8">
        <f>IF($A86="","",SUM($P86:$R86))</f>
        <v/>
      </c>
      <c r="W86" s="8">
        <f>IF($A86="","",SUM($S86:$T86))</f>
        <v/>
      </c>
      <c r="X86" s="8">
        <f>IF($A86="","",SUM($U86:$W86))</f>
        <v/>
      </c>
      <c r="Y86" s="6">
        <f>IF($A86="","",IF($U86&gt;0,"Urgent",IF($V86&gt;0,"Warning",IF($W86&gt;0,"Info","Closed"))))</f>
        <v/>
      </c>
      <c r="Z86" s="6">
        <f>IF($A86="","",IF($M86=1,"Complete bone scan / SPECT",IF($N86=1,"Complete PSMA PET-CT",IF($O86=1,"Start bone protection plan",IF($P86=1,"Order DEXA",IF($Q86=1,"Order genomics",IF($R86=1,"Review ARSI intensification",IF($S86=1,"Schedule follow-up PSA",IF($T86=1,"Document psychosocial screening","No open gap")))))))))</f>
        <v/>
      </c>
      <c r="AA86" s="6">
        <f>IF($A86="","",IF($X86=0,"No open care gaps",$Y86&amp;" priority · "&amp;$Z86))</f>
        <v/>
      </c>
    </row>
    <row r="87">
      <c r="A87" s="6">
        <f>IF(Demographics_Entry!$A87="","",Demographics_Entry!$A87)</f>
        <v/>
      </c>
      <c r="B87" s="6">
        <f>IF($A87="","",IFERROR(INDEX(Demographics_Entry!$E$5:$E$104,MATCH($A87,Demographics_Entry!$A$5:$A$104,0)),""))</f>
        <v/>
      </c>
      <c r="C87" s="6">
        <f>IF($A87="","",IFERROR(INDEX(Clinical_Entry!$U$5:$U$104,MATCH($A87,Clinical_Entry!$A$5:$A$104,0)),""))</f>
        <v/>
      </c>
      <c r="D87" s="6">
        <f>IF($A87="","",IFERROR(INDEX(Clinical_Entry!$W$5:$W$104,MATCH($A87,Clinical_Entry!$A$5:$A$104,0)),""))</f>
        <v/>
      </c>
      <c r="E87" s="6">
        <f>IF($A87="","",IFERROR(INDEX(Clinical_Entry!$Y$5:$Y$104,MATCH($A87,Clinical_Entry!$A$5:$A$104,0)),""))</f>
        <v/>
      </c>
      <c r="F87" s="6">
        <f>IF($A87="","",IFERROR(INDEX(Clinical_Entry!$Z$5:$Z$104,MATCH($A87,Clinical_Entry!$A$5:$A$104,0)),""))</f>
        <v/>
      </c>
      <c r="G87" s="6">
        <f>IF($A87="","",IFERROR(INDEX(Treatment_Entry!$AA$5:$AA$104,MATCH($A87,Treatment_Entry!$A$5:$A$104,0)),""))</f>
        <v/>
      </c>
      <c r="H87" s="6">
        <f>IF($A87="","",IFERROR(INDEX(Clinical_Entry!$AB$5:$AB$104,MATCH($A87,Clinical_Entry!$A$5:$A$104,0)),""))</f>
        <v/>
      </c>
      <c r="I87" s="6">
        <f>IF($A87="","",IFERROR(INDEX(Clinical_Entry!$AC$5:$AC$104,MATCH($A87,Clinical_Entry!$A$5:$A$104,0)),""))</f>
        <v/>
      </c>
      <c r="J87" s="6">
        <f>IF($A87="","",IFERROR(INDEX(Treatment_Entry!$K$5:$K$104,MATCH($A87,Treatment_Entry!$A$5:$A$104,0)),""))</f>
        <v/>
      </c>
      <c r="K87" s="7">
        <f>IF($A87="","",IFERROR(INDEX(Treatment_Entry!$AC$5:$AC$104,MATCH($A87,Treatment_Entry!$A$5:$A$104,0)),""))</f>
        <v/>
      </c>
      <c r="L87" s="6">
        <f>IF($A87="","",IFERROR(INDEX(Treatment_Entry!$AE$5:$AE$104,MATCH($A87,Treatment_Entry!$A$5:$A$104,0)),""))</f>
        <v/>
      </c>
      <c r="M87" s="8">
        <f>IF($A87="","",IF(AND($E87="Not done",OR($C87="High",$C87="Very High / Locally Advanced",LEFT($C87,2)="M1")),1,0))</f>
        <v/>
      </c>
      <c r="N87" s="8">
        <f>IF($A87="","",IF(AND($F87="Not done",OR($C87="High",$C87="Very High / Locally Advanced")),1,0))</f>
        <v/>
      </c>
      <c r="O87" s="8">
        <f>IF($A87="","",IF($G87="Not started",1,0))</f>
        <v/>
      </c>
      <c r="P87" s="8">
        <f>IF($A87="","",IF($H87="Not done",1,0))</f>
        <v/>
      </c>
      <c r="Q87" s="8">
        <f>IF($A87="","",IF($I87="Not done",1,0))</f>
        <v/>
      </c>
      <c r="R87" s="8">
        <f>IF($A87="","",IF(AND($D87="Hormone-sensitive (HSPC)",$C87="High",$J87="Not initiated"),1,0))</f>
        <v/>
      </c>
      <c r="S87" s="8">
        <f>IF($A87="","",IF($K87="",1,0))</f>
        <v/>
      </c>
      <c r="T87" s="8">
        <f>IF($A87="","",IF(OR($L87="",$L87="Not done"),1,0))</f>
        <v/>
      </c>
      <c r="U87" s="8">
        <f>IF($A87="","",SUM($M87:$O87))</f>
        <v/>
      </c>
      <c r="V87" s="8">
        <f>IF($A87="","",SUM($P87:$R87))</f>
        <v/>
      </c>
      <c r="W87" s="8">
        <f>IF($A87="","",SUM($S87:$T87))</f>
        <v/>
      </c>
      <c r="X87" s="8">
        <f>IF($A87="","",SUM($U87:$W87))</f>
        <v/>
      </c>
      <c r="Y87" s="6">
        <f>IF($A87="","",IF($U87&gt;0,"Urgent",IF($V87&gt;0,"Warning",IF($W87&gt;0,"Info","Closed"))))</f>
        <v/>
      </c>
      <c r="Z87" s="6">
        <f>IF($A87="","",IF($M87=1,"Complete bone scan / SPECT",IF($N87=1,"Complete PSMA PET-CT",IF($O87=1,"Start bone protection plan",IF($P87=1,"Order DEXA",IF($Q87=1,"Order genomics",IF($R87=1,"Review ARSI intensification",IF($S87=1,"Schedule follow-up PSA",IF($T87=1,"Document psychosocial screening","No open gap")))))))))</f>
        <v/>
      </c>
      <c r="AA87" s="6">
        <f>IF($A87="","",IF($X87=0,"No open care gaps",$Y87&amp;" priority · "&amp;$Z87))</f>
        <v/>
      </c>
    </row>
    <row r="88">
      <c r="A88" s="6">
        <f>IF(Demographics_Entry!$A88="","",Demographics_Entry!$A88)</f>
        <v/>
      </c>
      <c r="B88" s="6">
        <f>IF($A88="","",IFERROR(INDEX(Demographics_Entry!$E$5:$E$104,MATCH($A88,Demographics_Entry!$A$5:$A$104,0)),""))</f>
        <v/>
      </c>
      <c r="C88" s="6">
        <f>IF($A88="","",IFERROR(INDEX(Clinical_Entry!$U$5:$U$104,MATCH($A88,Clinical_Entry!$A$5:$A$104,0)),""))</f>
        <v/>
      </c>
      <c r="D88" s="6">
        <f>IF($A88="","",IFERROR(INDEX(Clinical_Entry!$W$5:$W$104,MATCH($A88,Clinical_Entry!$A$5:$A$104,0)),""))</f>
        <v/>
      </c>
      <c r="E88" s="6">
        <f>IF($A88="","",IFERROR(INDEX(Clinical_Entry!$Y$5:$Y$104,MATCH($A88,Clinical_Entry!$A$5:$A$104,0)),""))</f>
        <v/>
      </c>
      <c r="F88" s="6">
        <f>IF($A88="","",IFERROR(INDEX(Clinical_Entry!$Z$5:$Z$104,MATCH($A88,Clinical_Entry!$A$5:$A$104,0)),""))</f>
        <v/>
      </c>
      <c r="G88" s="6">
        <f>IF($A88="","",IFERROR(INDEX(Treatment_Entry!$AA$5:$AA$104,MATCH($A88,Treatment_Entry!$A$5:$A$104,0)),""))</f>
        <v/>
      </c>
      <c r="H88" s="6">
        <f>IF($A88="","",IFERROR(INDEX(Clinical_Entry!$AB$5:$AB$104,MATCH($A88,Clinical_Entry!$A$5:$A$104,0)),""))</f>
        <v/>
      </c>
      <c r="I88" s="6">
        <f>IF($A88="","",IFERROR(INDEX(Clinical_Entry!$AC$5:$AC$104,MATCH($A88,Clinical_Entry!$A$5:$A$104,0)),""))</f>
        <v/>
      </c>
      <c r="J88" s="6">
        <f>IF($A88="","",IFERROR(INDEX(Treatment_Entry!$K$5:$K$104,MATCH($A88,Treatment_Entry!$A$5:$A$104,0)),""))</f>
        <v/>
      </c>
      <c r="K88" s="7">
        <f>IF($A88="","",IFERROR(INDEX(Treatment_Entry!$AC$5:$AC$104,MATCH($A88,Treatment_Entry!$A$5:$A$104,0)),""))</f>
        <v/>
      </c>
      <c r="L88" s="6">
        <f>IF($A88="","",IFERROR(INDEX(Treatment_Entry!$AE$5:$AE$104,MATCH($A88,Treatment_Entry!$A$5:$A$104,0)),""))</f>
        <v/>
      </c>
      <c r="M88" s="8">
        <f>IF($A88="","",IF(AND($E88="Not done",OR($C88="High",$C88="Very High / Locally Advanced",LEFT($C88,2)="M1")),1,0))</f>
        <v/>
      </c>
      <c r="N88" s="8">
        <f>IF($A88="","",IF(AND($F88="Not done",OR($C88="High",$C88="Very High / Locally Advanced")),1,0))</f>
        <v/>
      </c>
      <c r="O88" s="8">
        <f>IF($A88="","",IF($G88="Not started",1,0))</f>
        <v/>
      </c>
      <c r="P88" s="8">
        <f>IF($A88="","",IF($H88="Not done",1,0))</f>
        <v/>
      </c>
      <c r="Q88" s="8">
        <f>IF($A88="","",IF($I88="Not done",1,0))</f>
        <v/>
      </c>
      <c r="R88" s="8">
        <f>IF($A88="","",IF(AND($D88="Hormone-sensitive (HSPC)",$C88="High",$J88="Not initiated"),1,0))</f>
        <v/>
      </c>
      <c r="S88" s="8">
        <f>IF($A88="","",IF($K88="",1,0))</f>
        <v/>
      </c>
      <c r="T88" s="8">
        <f>IF($A88="","",IF(OR($L88="",$L88="Not done"),1,0))</f>
        <v/>
      </c>
      <c r="U88" s="8">
        <f>IF($A88="","",SUM($M88:$O88))</f>
        <v/>
      </c>
      <c r="V88" s="8">
        <f>IF($A88="","",SUM($P88:$R88))</f>
        <v/>
      </c>
      <c r="W88" s="8">
        <f>IF($A88="","",SUM($S88:$T88))</f>
        <v/>
      </c>
      <c r="X88" s="8">
        <f>IF($A88="","",SUM($U88:$W88))</f>
        <v/>
      </c>
      <c r="Y88" s="6">
        <f>IF($A88="","",IF($U88&gt;0,"Urgent",IF($V88&gt;0,"Warning",IF($W88&gt;0,"Info","Closed"))))</f>
        <v/>
      </c>
      <c r="Z88" s="6">
        <f>IF($A88="","",IF($M88=1,"Complete bone scan / SPECT",IF($N88=1,"Complete PSMA PET-CT",IF($O88=1,"Start bone protection plan",IF($P88=1,"Order DEXA",IF($Q88=1,"Order genomics",IF($R88=1,"Review ARSI intensification",IF($S88=1,"Schedule follow-up PSA",IF($T88=1,"Document psychosocial screening","No open gap")))))))))</f>
        <v/>
      </c>
      <c r="AA88" s="6">
        <f>IF($A88="","",IF($X88=0,"No open care gaps",$Y88&amp;" priority · "&amp;$Z88))</f>
        <v/>
      </c>
    </row>
    <row r="89">
      <c r="A89" s="6">
        <f>IF(Demographics_Entry!$A89="","",Demographics_Entry!$A89)</f>
        <v/>
      </c>
      <c r="B89" s="6">
        <f>IF($A89="","",IFERROR(INDEX(Demographics_Entry!$E$5:$E$104,MATCH($A89,Demographics_Entry!$A$5:$A$104,0)),""))</f>
        <v/>
      </c>
      <c r="C89" s="6">
        <f>IF($A89="","",IFERROR(INDEX(Clinical_Entry!$U$5:$U$104,MATCH($A89,Clinical_Entry!$A$5:$A$104,0)),""))</f>
        <v/>
      </c>
      <c r="D89" s="6">
        <f>IF($A89="","",IFERROR(INDEX(Clinical_Entry!$W$5:$W$104,MATCH($A89,Clinical_Entry!$A$5:$A$104,0)),""))</f>
        <v/>
      </c>
      <c r="E89" s="6">
        <f>IF($A89="","",IFERROR(INDEX(Clinical_Entry!$Y$5:$Y$104,MATCH($A89,Clinical_Entry!$A$5:$A$104,0)),""))</f>
        <v/>
      </c>
      <c r="F89" s="6">
        <f>IF($A89="","",IFERROR(INDEX(Clinical_Entry!$Z$5:$Z$104,MATCH($A89,Clinical_Entry!$A$5:$A$104,0)),""))</f>
        <v/>
      </c>
      <c r="G89" s="6">
        <f>IF($A89="","",IFERROR(INDEX(Treatment_Entry!$AA$5:$AA$104,MATCH($A89,Treatment_Entry!$A$5:$A$104,0)),""))</f>
        <v/>
      </c>
      <c r="H89" s="6">
        <f>IF($A89="","",IFERROR(INDEX(Clinical_Entry!$AB$5:$AB$104,MATCH($A89,Clinical_Entry!$A$5:$A$104,0)),""))</f>
        <v/>
      </c>
      <c r="I89" s="6">
        <f>IF($A89="","",IFERROR(INDEX(Clinical_Entry!$AC$5:$AC$104,MATCH($A89,Clinical_Entry!$A$5:$A$104,0)),""))</f>
        <v/>
      </c>
      <c r="J89" s="6">
        <f>IF($A89="","",IFERROR(INDEX(Treatment_Entry!$K$5:$K$104,MATCH($A89,Treatment_Entry!$A$5:$A$104,0)),""))</f>
        <v/>
      </c>
      <c r="K89" s="7">
        <f>IF($A89="","",IFERROR(INDEX(Treatment_Entry!$AC$5:$AC$104,MATCH($A89,Treatment_Entry!$A$5:$A$104,0)),""))</f>
        <v/>
      </c>
      <c r="L89" s="6">
        <f>IF($A89="","",IFERROR(INDEX(Treatment_Entry!$AE$5:$AE$104,MATCH($A89,Treatment_Entry!$A$5:$A$104,0)),""))</f>
        <v/>
      </c>
      <c r="M89" s="8">
        <f>IF($A89="","",IF(AND($E89="Not done",OR($C89="High",$C89="Very High / Locally Advanced",LEFT($C89,2)="M1")),1,0))</f>
        <v/>
      </c>
      <c r="N89" s="8">
        <f>IF($A89="","",IF(AND($F89="Not done",OR($C89="High",$C89="Very High / Locally Advanced")),1,0))</f>
        <v/>
      </c>
      <c r="O89" s="8">
        <f>IF($A89="","",IF($G89="Not started",1,0))</f>
        <v/>
      </c>
      <c r="P89" s="8">
        <f>IF($A89="","",IF($H89="Not done",1,0))</f>
        <v/>
      </c>
      <c r="Q89" s="8">
        <f>IF($A89="","",IF($I89="Not done",1,0))</f>
        <v/>
      </c>
      <c r="R89" s="8">
        <f>IF($A89="","",IF(AND($D89="Hormone-sensitive (HSPC)",$C89="High",$J89="Not initiated"),1,0))</f>
        <v/>
      </c>
      <c r="S89" s="8">
        <f>IF($A89="","",IF($K89="",1,0))</f>
        <v/>
      </c>
      <c r="T89" s="8">
        <f>IF($A89="","",IF(OR($L89="",$L89="Not done"),1,0))</f>
        <v/>
      </c>
      <c r="U89" s="8">
        <f>IF($A89="","",SUM($M89:$O89))</f>
        <v/>
      </c>
      <c r="V89" s="8">
        <f>IF($A89="","",SUM($P89:$R89))</f>
        <v/>
      </c>
      <c r="W89" s="8">
        <f>IF($A89="","",SUM($S89:$T89))</f>
        <v/>
      </c>
      <c r="X89" s="8">
        <f>IF($A89="","",SUM($U89:$W89))</f>
        <v/>
      </c>
      <c r="Y89" s="6">
        <f>IF($A89="","",IF($U89&gt;0,"Urgent",IF($V89&gt;0,"Warning",IF($W89&gt;0,"Info","Closed"))))</f>
        <v/>
      </c>
      <c r="Z89" s="6">
        <f>IF($A89="","",IF($M89=1,"Complete bone scan / SPECT",IF($N89=1,"Complete PSMA PET-CT",IF($O89=1,"Start bone protection plan",IF($P89=1,"Order DEXA",IF($Q89=1,"Order genomics",IF($R89=1,"Review ARSI intensification",IF($S89=1,"Schedule follow-up PSA",IF($T89=1,"Document psychosocial screening","No open gap")))))))))</f>
        <v/>
      </c>
      <c r="AA89" s="6">
        <f>IF($A89="","",IF($X89=0,"No open care gaps",$Y89&amp;" priority · "&amp;$Z89))</f>
        <v/>
      </c>
    </row>
    <row r="90">
      <c r="A90" s="6">
        <f>IF(Demographics_Entry!$A90="","",Demographics_Entry!$A90)</f>
        <v/>
      </c>
      <c r="B90" s="6">
        <f>IF($A90="","",IFERROR(INDEX(Demographics_Entry!$E$5:$E$104,MATCH($A90,Demographics_Entry!$A$5:$A$104,0)),""))</f>
        <v/>
      </c>
      <c r="C90" s="6">
        <f>IF($A90="","",IFERROR(INDEX(Clinical_Entry!$U$5:$U$104,MATCH($A90,Clinical_Entry!$A$5:$A$104,0)),""))</f>
        <v/>
      </c>
      <c r="D90" s="6">
        <f>IF($A90="","",IFERROR(INDEX(Clinical_Entry!$W$5:$W$104,MATCH($A90,Clinical_Entry!$A$5:$A$104,0)),""))</f>
        <v/>
      </c>
      <c r="E90" s="6">
        <f>IF($A90="","",IFERROR(INDEX(Clinical_Entry!$Y$5:$Y$104,MATCH($A90,Clinical_Entry!$A$5:$A$104,0)),""))</f>
        <v/>
      </c>
      <c r="F90" s="6">
        <f>IF($A90="","",IFERROR(INDEX(Clinical_Entry!$Z$5:$Z$104,MATCH($A90,Clinical_Entry!$A$5:$A$104,0)),""))</f>
        <v/>
      </c>
      <c r="G90" s="6">
        <f>IF($A90="","",IFERROR(INDEX(Treatment_Entry!$AA$5:$AA$104,MATCH($A90,Treatment_Entry!$A$5:$A$104,0)),""))</f>
        <v/>
      </c>
      <c r="H90" s="6">
        <f>IF($A90="","",IFERROR(INDEX(Clinical_Entry!$AB$5:$AB$104,MATCH($A90,Clinical_Entry!$A$5:$A$104,0)),""))</f>
        <v/>
      </c>
      <c r="I90" s="6">
        <f>IF($A90="","",IFERROR(INDEX(Clinical_Entry!$AC$5:$AC$104,MATCH($A90,Clinical_Entry!$A$5:$A$104,0)),""))</f>
        <v/>
      </c>
      <c r="J90" s="6">
        <f>IF($A90="","",IFERROR(INDEX(Treatment_Entry!$K$5:$K$104,MATCH($A90,Treatment_Entry!$A$5:$A$104,0)),""))</f>
        <v/>
      </c>
      <c r="K90" s="7">
        <f>IF($A90="","",IFERROR(INDEX(Treatment_Entry!$AC$5:$AC$104,MATCH($A90,Treatment_Entry!$A$5:$A$104,0)),""))</f>
        <v/>
      </c>
      <c r="L90" s="6">
        <f>IF($A90="","",IFERROR(INDEX(Treatment_Entry!$AE$5:$AE$104,MATCH($A90,Treatment_Entry!$A$5:$A$104,0)),""))</f>
        <v/>
      </c>
      <c r="M90" s="8">
        <f>IF($A90="","",IF(AND($E90="Not done",OR($C90="High",$C90="Very High / Locally Advanced",LEFT($C90,2)="M1")),1,0))</f>
        <v/>
      </c>
      <c r="N90" s="8">
        <f>IF($A90="","",IF(AND($F90="Not done",OR($C90="High",$C90="Very High / Locally Advanced")),1,0))</f>
        <v/>
      </c>
      <c r="O90" s="8">
        <f>IF($A90="","",IF($G90="Not started",1,0))</f>
        <v/>
      </c>
      <c r="P90" s="8">
        <f>IF($A90="","",IF($H90="Not done",1,0))</f>
        <v/>
      </c>
      <c r="Q90" s="8">
        <f>IF($A90="","",IF($I90="Not done",1,0))</f>
        <v/>
      </c>
      <c r="R90" s="8">
        <f>IF($A90="","",IF(AND($D90="Hormone-sensitive (HSPC)",$C90="High",$J90="Not initiated"),1,0))</f>
        <v/>
      </c>
      <c r="S90" s="8">
        <f>IF($A90="","",IF($K90="",1,0))</f>
        <v/>
      </c>
      <c r="T90" s="8">
        <f>IF($A90="","",IF(OR($L90="",$L90="Not done"),1,0))</f>
        <v/>
      </c>
      <c r="U90" s="8">
        <f>IF($A90="","",SUM($M90:$O90))</f>
        <v/>
      </c>
      <c r="V90" s="8">
        <f>IF($A90="","",SUM($P90:$R90))</f>
        <v/>
      </c>
      <c r="W90" s="8">
        <f>IF($A90="","",SUM($S90:$T90))</f>
        <v/>
      </c>
      <c r="X90" s="8">
        <f>IF($A90="","",SUM($U90:$W90))</f>
        <v/>
      </c>
      <c r="Y90" s="6">
        <f>IF($A90="","",IF($U90&gt;0,"Urgent",IF($V90&gt;0,"Warning",IF($W90&gt;0,"Info","Closed"))))</f>
        <v/>
      </c>
      <c r="Z90" s="6">
        <f>IF($A90="","",IF($M90=1,"Complete bone scan / SPECT",IF($N90=1,"Complete PSMA PET-CT",IF($O90=1,"Start bone protection plan",IF($P90=1,"Order DEXA",IF($Q90=1,"Order genomics",IF($R90=1,"Review ARSI intensification",IF($S90=1,"Schedule follow-up PSA",IF($T90=1,"Document psychosocial screening","No open gap")))))))))</f>
        <v/>
      </c>
      <c r="AA90" s="6">
        <f>IF($A90="","",IF($X90=0,"No open care gaps",$Y90&amp;" priority · "&amp;$Z90))</f>
        <v/>
      </c>
    </row>
    <row r="91">
      <c r="A91" s="6">
        <f>IF(Demographics_Entry!$A91="","",Demographics_Entry!$A91)</f>
        <v/>
      </c>
      <c r="B91" s="6">
        <f>IF($A91="","",IFERROR(INDEX(Demographics_Entry!$E$5:$E$104,MATCH($A91,Demographics_Entry!$A$5:$A$104,0)),""))</f>
        <v/>
      </c>
      <c r="C91" s="6">
        <f>IF($A91="","",IFERROR(INDEX(Clinical_Entry!$U$5:$U$104,MATCH($A91,Clinical_Entry!$A$5:$A$104,0)),""))</f>
        <v/>
      </c>
      <c r="D91" s="6">
        <f>IF($A91="","",IFERROR(INDEX(Clinical_Entry!$W$5:$W$104,MATCH($A91,Clinical_Entry!$A$5:$A$104,0)),""))</f>
        <v/>
      </c>
      <c r="E91" s="6">
        <f>IF($A91="","",IFERROR(INDEX(Clinical_Entry!$Y$5:$Y$104,MATCH($A91,Clinical_Entry!$A$5:$A$104,0)),""))</f>
        <v/>
      </c>
      <c r="F91" s="6">
        <f>IF($A91="","",IFERROR(INDEX(Clinical_Entry!$Z$5:$Z$104,MATCH($A91,Clinical_Entry!$A$5:$A$104,0)),""))</f>
        <v/>
      </c>
      <c r="G91" s="6">
        <f>IF($A91="","",IFERROR(INDEX(Treatment_Entry!$AA$5:$AA$104,MATCH($A91,Treatment_Entry!$A$5:$A$104,0)),""))</f>
        <v/>
      </c>
      <c r="H91" s="6">
        <f>IF($A91="","",IFERROR(INDEX(Clinical_Entry!$AB$5:$AB$104,MATCH($A91,Clinical_Entry!$A$5:$A$104,0)),""))</f>
        <v/>
      </c>
      <c r="I91" s="6">
        <f>IF($A91="","",IFERROR(INDEX(Clinical_Entry!$AC$5:$AC$104,MATCH($A91,Clinical_Entry!$A$5:$A$104,0)),""))</f>
        <v/>
      </c>
      <c r="J91" s="6">
        <f>IF($A91="","",IFERROR(INDEX(Treatment_Entry!$K$5:$K$104,MATCH($A91,Treatment_Entry!$A$5:$A$104,0)),""))</f>
        <v/>
      </c>
      <c r="K91" s="7">
        <f>IF($A91="","",IFERROR(INDEX(Treatment_Entry!$AC$5:$AC$104,MATCH($A91,Treatment_Entry!$A$5:$A$104,0)),""))</f>
        <v/>
      </c>
      <c r="L91" s="6">
        <f>IF($A91="","",IFERROR(INDEX(Treatment_Entry!$AE$5:$AE$104,MATCH($A91,Treatment_Entry!$A$5:$A$104,0)),""))</f>
        <v/>
      </c>
      <c r="M91" s="8">
        <f>IF($A91="","",IF(AND($E91="Not done",OR($C91="High",$C91="Very High / Locally Advanced",LEFT($C91,2)="M1")),1,0))</f>
        <v/>
      </c>
      <c r="N91" s="8">
        <f>IF($A91="","",IF(AND($F91="Not done",OR($C91="High",$C91="Very High / Locally Advanced")),1,0))</f>
        <v/>
      </c>
      <c r="O91" s="8">
        <f>IF($A91="","",IF($G91="Not started",1,0))</f>
        <v/>
      </c>
      <c r="P91" s="8">
        <f>IF($A91="","",IF($H91="Not done",1,0))</f>
        <v/>
      </c>
      <c r="Q91" s="8">
        <f>IF($A91="","",IF($I91="Not done",1,0))</f>
        <v/>
      </c>
      <c r="R91" s="8">
        <f>IF($A91="","",IF(AND($D91="Hormone-sensitive (HSPC)",$C91="High",$J91="Not initiated"),1,0))</f>
        <v/>
      </c>
      <c r="S91" s="8">
        <f>IF($A91="","",IF($K91="",1,0))</f>
        <v/>
      </c>
      <c r="T91" s="8">
        <f>IF($A91="","",IF(OR($L91="",$L91="Not done"),1,0))</f>
        <v/>
      </c>
      <c r="U91" s="8">
        <f>IF($A91="","",SUM($M91:$O91))</f>
        <v/>
      </c>
      <c r="V91" s="8">
        <f>IF($A91="","",SUM($P91:$R91))</f>
        <v/>
      </c>
      <c r="W91" s="8">
        <f>IF($A91="","",SUM($S91:$T91))</f>
        <v/>
      </c>
      <c r="X91" s="8">
        <f>IF($A91="","",SUM($U91:$W91))</f>
        <v/>
      </c>
      <c r="Y91" s="6">
        <f>IF($A91="","",IF($U91&gt;0,"Urgent",IF($V91&gt;0,"Warning",IF($W91&gt;0,"Info","Closed"))))</f>
        <v/>
      </c>
      <c r="Z91" s="6">
        <f>IF($A91="","",IF($M91=1,"Complete bone scan / SPECT",IF($N91=1,"Complete PSMA PET-CT",IF($O91=1,"Start bone protection plan",IF($P91=1,"Order DEXA",IF($Q91=1,"Order genomics",IF($R91=1,"Review ARSI intensification",IF($S91=1,"Schedule follow-up PSA",IF($T91=1,"Document psychosocial screening","No open gap")))))))))</f>
        <v/>
      </c>
      <c r="AA91" s="6">
        <f>IF($A91="","",IF($X91=0,"No open care gaps",$Y91&amp;" priority · "&amp;$Z91))</f>
        <v/>
      </c>
    </row>
    <row r="92">
      <c r="A92" s="6">
        <f>IF(Demographics_Entry!$A92="","",Demographics_Entry!$A92)</f>
        <v/>
      </c>
      <c r="B92" s="6">
        <f>IF($A92="","",IFERROR(INDEX(Demographics_Entry!$E$5:$E$104,MATCH($A92,Demographics_Entry!$A$5:$A$104,0)),""))</f>
        <v/>
      </c>
      <c r="C92" s="6">
        <f>IF($A92="","",IFERROR(INDEX(Clinical_Entry!$U$5:$U$104,MATCH($A92,Clinical_Entry!$A$5:$A$104,0)),""))</f>
        <v/>
      </c>
      <c r="D92" s="6">
        <f>IF($A92="","",IFERROR(INDEX(Clinical_Entry!$W$5:$W$104,MATCH($A92,Clinical_Entry!$A$5:$A$104,0)),""))</f>
        <v/>
      </c>
      <c r="E92" s="6">
        <f>IF($A92="","",IFERROR(INDEX(Clinical_Entry!$Y$5:$Y$104,MATCH($A92,Clinical_Entry!$A$5:$A$104,0)),""))</f>
        <v/>
      </c>
      <c r="F92" s="6">
        <f>IF($A92="","",IFERROR(INDEX(Clinical_Entry!$Z$5:$Z$104,MATCH($A92,Clinical_Entry!$A$5:$A$104,0)),""))</f>
        <v/>
      </c>
      <c r="G92" s="6">
        <f>IF($A92="","",IFERROR(INDEX(Treatment_Entry!$AA$5:$AA$104,MATCH($A92,Treatment_Entry!$A$5:$A$104,0)),""))</f>
        <v/>
      </c>
      <c r="H92" s="6">
        <f>IF($A92="","",IFERROR(INDEX(Clinical_Entry!$AB$5:$AB$104,MATCH($A92,Clinical_Entry!$A$5:$A$104,0)),""))</f>
        <v/>
      </c>
      <c r="I92" s="6">
        <f>IF($A92="","",IFERROR(INDEX(Clinical_Entry!$AC$5:$AC$104,MATCH($A92,Clinical_Entry!$A$5:$A$104,0)),""))</f>
        <v/>
      </c>
      <c r="J92" s="6">
        <f>IF($A92="","",IFERROR(INDEX(Treatment_Entry!$K$5:$K$104,MATCH($A92,Treatment_Entry!$A$5:$A$104,0)),""))</f>
        <v/>
      </c>
      <c r="K92" s="7">
        <f>IF($A92="","",IFERROR(INDEX(Treatment_Entry!$AC$5:$AC$104,MATCH($A92,Treatment_Entry!$A$5:$A$104,0)),""))</f>
        <v/>
      </c>
      <c r="L92" s="6">
        <f>IF($A92="","",IFERROR(INDEX(Treatment_Entry!$AE$5:$AE$104,MATCH($A92,Treatment_Entry!$A$5:$A$104,0)),""))</f>
        <v/>
      </c>
      <c r="M92" s="8">
        <f>IF($A92="","",IF(AND($E92="Not done",OR($C92="High",$C92="Very High / Locally Advanced",LEFT($C92,2)="M1")),1,0))</f>
        <v/>
      </c>
      <c r="N92" s="8">
        <f>IF($A92="","",IF(AND($F92="Not done",OR($C92="High",$C92="Very High / Locally Advanced")),1,0))</f>
        <v/>
      </c>
      <c r="O92" s="8">
        <f>IF($A92="","",IF($G92="Not started",1,0))</f>
        <v/>
      </c>
      <c r="P92" s="8">
        <f>IF($A92="","",IF($H92="Not done",1,0))</f>
        <v/>
      </c>
      <c r="Q92" s="8">
        <f>IF($A92="","",IF($I92="Not done",1,0))</f>
        <v/>
      </c>
      <c r="R92" s="8">
        <f>IF($A92="","",IF(AND($D92="Hormone-sensitive (HSPC)",$C92="High",$J92="Not initiated"),1,0))</f>
        <v/>
      </c>
      <c r="S92" s="8">
        <f>IF($A92="","",IF($K92="",1,0))</f>
        <v/>
      </c>
      <c r="T92" s="8">
        <f>IF($A92="","",IF(OR($L92="",$L92="Not done"),1,0))</f>
        <v/>
      </c>
      <c r="U92" s="8">
        <f>IF($A92="","",SUM($M92:$O92))</f>
        <v/>
      </c>
      <c r="V92" s="8">
        <f>IF($A92="","",SUM($P92:$R92))</f>
        <v/>
      </c>
      <c r="W92" s="8">
        <f>IF($A92="","",SUM($S92:$T92))</f>
        <v/>
      </c>
      <c r="X92" s="8">
        <f>IF($A92="","",SUM($U92:$W92))</f>
        <v/>
      </c>
      <c r="Y92" s="6">
        <f>IF($A92="","",IF($U92&gt;0,"Urgent",IF($V92&gt;0,"Warning",IF($W92&gt;0,"Info","Closed"))))</f>
        <v/>
      </c>
      <c r="Z92" s="6">
        <f>IF($A92="","",IF($M92=1,"Complete bone scan / SPECT",IF($N92=1,"Complete PSMA PET-CT",IF($O92=1,"Start bone protection plan",IF($P92=1,"Order DEXA",IF($Q92=1,"Order genomics",IF($R92=1,"Review ARSI intensification",IF($S92=1,"Schedule follow-up PSA",IF($T92=1,"Document psychosocial screening","No open gap")))))))))</f>
        <v/>
      </c>
      <c r="AA92" s="6">
        <f>IF($A92="","",IF($X92=0,"No open care gaps",$Y92&amp;" priority · "&amp;$Z92))</f>
        <v/>
      </c>
    </row>
    <row r="93">
      <c r="A93" s="6">
        <f>IF(Demographics_Entry!$A93="","",Demographics_Entry!$A93)</f>
        <v/>
      </c>
      <c r="B93" s="6">
        <f>IF($A93="","",IFERROR(INDEX(Demographics_Entry!$E$5:$E$104,MATCH($A93,Demographics_Entry!$A$5:$A$104,0)),""))</f>
        <v/>
      </c>
      <c r="C93" s="6">
        <f>IF($A93="","",IFERROR(INDEX(Clinical_Entry!$U$5:$U$104,MATCH($A93,Clinical_Entry!$A$5:$A$104,0)),""))</f>
        <v/>
      </c>
      <c r="D93" s="6">
        <f>IF($A93="","",IFERROR(INDEX(Clinical_Entry!$W$5:$W$104,MATCH($A93,Clinical_Entry!$A$5:$A$104,0)),""))</f>
        <v/>
      </c>
      <c r="E93" s="6">
        <f>IF($A93="","",IFERROR(INDEX(Clinical_Entry!$Y$5:$Y$104,MATCH($A93,Clinical_Entry!$A$5:$A$104,0)),""))</f>
        <v/>
      </c>
      <c r="F93" s="6">
        <f>IF($A93="","",IFERROR(INDEX(Clinical_Entry!$Z$5:$Z$104,MATCH($A93,Clinical_Entry!$A$5:$A$104,0)),""))</f>
        <v/>
      </c>
      <c r="G93" s="6">
        <f>IF($A93="","",IFERROR(INDEX(Treatment_Entry!$AA$5:$AA$104,MATCH($A93,Treatment_Entry!$A$5:$A$104,0)),""))</f>
        <v/>
      </c>
      <c r="H93" s="6">
        <f>IF($A93="","",IFERROR(INDEX(Clinical_Entry!$AB$5:$AB$104,MATCH($A93,Clinical_Entry!$A$5:$A$104,0)),""))</f>
        <v/>
      </c>
      <c r="I93" s="6">
        <f>IF($A93="","",IFERROR(INDEX(Clinical_Entry!$AC$5:$AC$104,MATCH($A93,Clinical_Entry!$A$5:$A$104,0)),""))</f>
        <v/>
      </c>
      <c r="J93" s="6">
        <f>IF($A93="","",IFERROR(INDEX(Treatment_Entry!$K$5:$K$104,MATCH($A93,Treatment_Entry!$A$5:$A$104,0)),""))</f>
        <v/>
      </c>
      <c r="K93" s="7">
        <f>IF($A93="","",IFERROR(INDEX(Treatment_Entry!$AC$5:$AC$104,MATCH($A93,Treatment_Entry!$A$5:$A$104,0)),""))</f>
        <v/>
      </c>
      <c r="L93" s="6">
        <f>IF($A93="","",IFERROR(INDEX(Treatment_Entry!$AE$5:$AE$104,MATCH($A93,Treatment_Entry!$A$5:$A$104,0)),""))</f>
        <v/>
      </c>
      <c r="M93" s="8">
        <f>IF($A93="","",IF(AND($E93="Not done",OR($C93="High",$C93="Very High / Locally Advanced",LEFT($C93,2)="M1")),1,0))</f>
        <v/>
      </c>
      <c r="N93" s="8">
        <f>IF($A93="","",IF(AND($F93="Not done",OR($C93="High",$C93="Very High / Locally Advanced")),1,0))</f>
        <v/>
      </c>
      <c r="O93" s="8">
        <f>IF($A93="","",IF($G93="Not started",1,0))</f>
        <v/>
      </c>
      <c r="P93" s="8">
        <f>IF($A93="","",IF($H93="Not done",1,0))</f>
        <v/>
      </c>
      <c r="Q93" s="8">
        <f>IF($A93="","",IF($I93="Not done",1,0))</f>
        <v/>
      </c>
      <c r="R93" s="8">
        <f>IF($A93="","",IF(AND($D93="Hormone-sensitive (HSPC)",$C93="High",$J93="Not initiated"),1,0))</f>
        <v/>
      </c>
      <c r="S93" s="8">
        <f>IF($A93="","",IF($K93="",1,0))</f>
        <v/>
      </c>
      <c r="T93" s="8">
        <f>IF($A93="","",IF(OR($L93="",$L93="Not done"),1,0))</f>
        <v/>
      </c>
      <c r="U93" s="8">
        <f>IF($A93="","",SUM($M93:$O93))</f>
        <v/>
      </c>
      <c r="V93" s="8">
        <f>IF($A93="","",SUM($P93:$R93))</f>
        <v/>
      </c>
      <c r="W93" s="8">
        <f>IF($A93="","",SUM($S93:$T93))</f>
        <v/>
      </c>
      <c r="X93" s="8">
        <f>IF($A93="","",SUM($U93:$W93))</f>
        <v/>
      </c>
      <c r="Y93" s="6">
        <f>IF($A93="","",IF($U93&gt;0,"Urgent",IF($V93&gt;0,"Warning",IF($W93&gt;0,"Info","Closed"))))</f>
        <v/>
      </c>
      <c r="Z93" s="6">
        <f>IF($A93="","",IF($M93=1,"Complete bone scan / SPECT",IF($N93=1,"Complete PSMA PET-CT",IF($O93=1,"Start bone protection plan",IF($P93=1,"Order DEXA",IF($Q93=1,"Order genomics",IF($R93=1,"Review ARSI intensification",IF($S93=1,"Schedule follow-up PSA",IF($T93=1,"Document psychosocial screening","No open gap")))))))))</f>
        <v/>
      </c>
      <c r="AA93" s="6">
        <f>IF($A93="","",IF($X93=0,"No open care gaps",$Y93&amp;" priority · "&amp;$Z93))</f>
        <v/>
      </c>
    </row>
    <row r="94">
      <c r="A94" s="6">
        <f>IF(Demographics_Entry!$A94="","",Demographics_Entry!$A94)</f>
        <v/>
      </c>
      <c r="B94" s="6">
        <f>IF($A94="","",IFERROR(INDEX(Demographics_Entry!$E$5:$E$104,MATCH($A94,Demographics_Entry!$A$5:$A$104,0)),""))</f>
        <v/>
      </c>
      <c r="C94" s="6">
        <f>IF($A94="","",IFERROR(INDEX(Clinical_Entry!$U$5:$U$104,MATCH($A94,Clinical_Entry!$A$5:$A$104,0)),""))</f>
        <v/>
      </c>
      <c r="D94" s="6">
        <f>IF($A94="","",IFERROR(INDEX(Clinical_Entry!$W$5:$W$104,MATCH($A94,Clinical_Entry!$A$5:$A$104,0)),""))</f>
        <v/>
      </c>
      <c r="E94" s="6">
        <f>IF($A94="","",IFERROR(INDEX(Clinical_Entry!$Y$5:$Y$104,MATCH($A94,Clinical_Entry!$A$5:$A$104,0)),""))</f>
        <v/>
      </c>
      <c r="F94" s="6">
        <f>IF($A94="","",IFERROR(INDEX(Clinical_Entry!$Z$5:$Z$104,MATCH($A94,Clinical_Entry!$A$5:$A$104,0)),""))</f>
        <v/>
      </c>
      <c r="G94" s="6">
        <f>IF($A94="","",IFERROR(INDEX(Treatment_Entry!$AA$5:$AA$104,MATCH($A94,Treatment_Entry!$A$5:$A$104,0)),""))</f>
        <v/>
      </c>
      <c r="H94" s="6">
        <f>IF($A94="","",IFERROR(INDEX(Clinical_Entry!$AB$5:$AB$104,MATCH($A94,Clinical_Entry!$A$5:$A$104,0)),""))</f>
        <v/>
      </c>
      <c r="I94" s="6">
        <f>IF($A94="","",IFERROR(INDEX(Clinical_Entry!$AC$5:$AC$104,MATCH($A94,Clinical_Entry!$A$5:$A$104,0)),""))</f>
        <v/>
      </c>
      <c r="J94" s="6">
        <f>IF($A94="","",IFERROR(INDEX(Treatment_Entry!$K$5:$K$104,MATCH($A94,Treatment_Entry!$A$5:$A$104,0)),""))</f>
        <v/>
      </c>
      <c r="K94" s="7">
        <f>IF($A94="","",IFERROR(INDEX(Treatment_Entry!$AC$5:$AC$104,MATCH($A94,Treatment_Entry!$A$5:$A$104,0)),""))</f>
        <v/>
      </c>
      <c r="L94" s="6">
        <f>IF($A94="","",IFERROR(INDEX(Treatment_Entry!$AE$5:$AE$104,MATCH($A94,Treatment_Entry!$A$5:$A$104,0)),""))</f>
        <v/>
      </c>
      <c r="M94" s="8">
        <f>IF($A94="","",IF(AND($E94="Not done",OR($C94="High",$C94="Very High / Locally Advanced",LEFT($C94,2)="M1")),1,0))</f>
        <v/>
      </c>
      <c r="N94" s="8">
        <f>IF($A94="","",IF(AND($F94="Not done",OR($C94="High",$C94="Very High / Locally Advanced")),1,0))</f>
        <v/>
      </c>
      <c r="O94" s="8">
        <f>IF($A94="","",IF($G94="Not started",1,0))</f>
        <v/>
      </c>
      <c r="P94" s="8">
        <f>IF($A94="","",IF($H94="Not done",1,0))</f>
        <v/>
      </c>
      <c r="Q94" s="8">
        <f>IF($A94="","",IF($I94="Not done",1,0))</f>
        <v/>
      </c>
      <c r="R94" s="8">
        <f>IF($A94="","",IF(AND($D94="Hormone-sensitive (HSPC)",$C94="High",$J94="Not initiated"),1,0))</f>
        <v/>
      </c>
      <c r="S94" s="8">
        <f>IF($A94="","",IF($K94="",1,0))</f>
        <v/>
      </c>
      <c r="T94" s="8">
        <f>IF($A94="","",IF(OR($L94="",$L94="Not done"),1,0))</f>
        <v/>
      </c>
      <c r="U94" s="8">
        <f>IF($A94="","",SUM($M94:$O94))</f>
        <v/>
      </c>
      <c r="V94" s="8">
        <f>IF($A94="","",SUM($P94:$R94))</f>
        <v/>
      </c>
      <c r="W94" s="8">
        <f>IF($A94="","",SUM($S94:$T94))</f>
        <v/>
      </c>
      <c r="X94" s="8">
        <f>IF($A94="","",SUM($U94:$W94))</f>
        <v/>
      </c>
      <c r="Y94" s="6">
        <f>IF($A94="","",IF($U94&gt;0,"Urgent",IF($V94&gt;0,"Warning",IF($W94&gt;0,"Info","Closed"))))</f>
        <v/>
      </c>
      <c r="Z94" s="6">
        <f>IF($A94="","",IF($M94=1,"Complete bone scan / SPECT",IF($N94=1,"Complete PSMA PET-CT",IF($O94=1,"Start bone protection plan",IF($P94=1,"Order DEXA",IF($Q94=1,"Order genomics",IF($R94=1,"Review ARSI intensification",IF($S94=1,"Schedule follow-up PSA",IF($T94=1,"Document psychosocial screening","No open gap")))))))))</f>
        <v/>
      </c>
      <c r="AA94" s="6">
        <f>IF($A94="","",IF($X94=0,"No open care gaps",$Y94&amp;" priority · "&amp;$Z94))</f>
        <v/>
      </c>
    </row>
    <row r="95">
      <c r="A95" s="6">
        <f>IF(Demographics_Entry!$A95="","",Demographics_Entry!$A95)</f>
        <v/>
      </c>
      <c r="B95" s="6">
        <f>IF($A95="","",IFERROR(INDEX(Demographics_Entry!$E$5:$E$104,MATCH($A95,Demographics_Entry!$A$5:$A$104,0)),""))</f>
        <v/>
      </c>
      <c r="C95" s="6">
        <f>IF($A95="","",IFERROR(INDEX(Clinical_Entry!$U$5:$U$104,MATCH($A95,Clinical_Entry!$A$5:$A$104,0)),""))</f>
        <v/>
      </c>
      <c r="D95" s="6">
        <f>IF($A95="","",IFERROR(INDEX(Clinical_Entry!$W$5:$W$104,MATCH($A95,Clinical_Entry!$A$5:$A$104,0)),""))</f>
        <v/>
      </c>
      <c r="E95" s="6">
        <f>IF($A95="","",IFERROR(INDEX(Clinical_Entry!$Y$5:$Y$104,MATCH($A95,Clinical_Entry!$A$5:$A$104,0)),""))</f>
        <v/>
      </c>
      <c r="F95" s="6">
        <f>IF($A95="","",IFERROR(INDEX(Clinical_Entry!$Z$5:$Z$104,MATCH($A95,Clinical_Entry!$A$5:$A$104,0)),""))</f>
        <v/>
      </c>
      <c r="G95" s="6">
        <f>IF($A95="","",IFERROR(INDEX(Treatment_Entry!$AA$5:$AA$104,MATCH($A95,Treatment_Entry!$A$5:$A$104,0)),""))</f>
        <v/>
      </c>
      <c r="H95" s="6">
        <f>IF($A95="","",IFERROR(INDEX(Clinical_Entry!$AB$5:$AB$104,MATCH($A95,Clinical_Entry!$A$5:$A$104,0)),""))</f>
        <v/>
      </c>
      <c r="I95" s="6">
        <f>IF($A95="","",IFERROR(INDEX(Clinical_Entry!$AC$5:$AC$104,MATCH($A95,Clinical_Entry!$A$5:$A$104,0)),""))</f>
        <v/>
      </c>
      <c r="J95" s="6">
        <f>IF($A95="","",IFERROR(INDEX(Treatment_Entry!$K$5:$K$104,MATCH($A95,Treatment_Entry!$A$5:$A$104,0)),""))</f>
        <v/>
      </c>
      <c r="K95" s="7">
        <f>IF($A95="","",IFERROR(INDEX(Treatment_Entry!$AC$5:$AC$104,MATCH($A95,Treatment_Entry!$A$5:$A$104,0)),""))</f>
        <v/>
      </c>
      <c r="L95" s="6">
        <f>IF($A95="","",IFERROR(INDEX(Treatment_Entry!$AE$5:$AE$104,MATCH($A95,Treatment_Entry!$A$5:$A$104,0)),""))</f>
        <v/>
      </c>
      <c r="M95" s="8">
        <f>IF($A95="","",IF(AND($E95="Not done",OR($C95="High",$C95="Very High / Locally Advanced",LEFT($C95,2)="M1")),1,0))</f>
        <v/>
      </c>
      <c r="N95" s="8">
        <f>IF($A95="","",IF(AND($F95="Not done",OR($C95="High",$C95="Very High / Locally Advanced")),1,0))</f>
        <v/>
      </c>
      <c r="O95" s="8">
        <f>IF($A95="","",IF($G95="Not started",1,0))</f>
        <v/>
      </c>
      <c r="P95" s="8">
        <f>IF($A95="","",IF($H95="Not done",1,0))</f>
        <v/>
      </c>
      <c r="Q95" s="8">
        <f>IF($A95="","",IF($I95="Not done",1,0))</f>
        <v/>
      </c>
      <c r="R95" s="8">
        <f>IF($A95="","",IF(AND($D95="Hormone-sensitive (HSPC)",$C95="High",$J95="Not initiated"),1,0))</f>
        <v/>
      </c>
      <c r="S95" s="8">
        <f>IF($A95="","",IF($K95="",1,0))</f>
        <v/>
      </c>
      <c r="T95" s="8">
        <f>IF($A95="","",IF(OR($L95="",$L95="Not done"),1,0))</f>
        <v/>
      </c>
      <c r="U95" s="8">
        <f>IF($A95="","",SUM($M95:$O95))</f>
        <v/>
      </c>
      <c r="V95" s="8">
        <f>IF($A95="","",SUM($P95:$R95))</f>
        <v/>
      </c>
      <c r="W95" s="8">
        <f>IF($A95="","",SUM($S95:$T95))</f>
        <v/>
      </c>
      <c r="X95" s="8">
        <f>IF($A95="","",SUM($U95:$W95))</f>
        <v/>
      </c>
      <c r="Y95" s="6">
        <f>IF($A95="","",IF($U95&gt;0,"Urgent",IF($V95&gt;0,"Warning",IF($W95&gt;0,"Info","Closed"))))</f>
        <v/>
      </c>
      <c r="Z95" s="6">
        <f>IF($A95="","",IF($M95=1,"Complete bone scan / SPECT",IF($N95=1,"Complete PSMA PET-CT",IF($O95=1,"Start bone protection plan",IF($P95=1,"Order DEXA",IF($Q95=1,"Order genomics",IF($R95=1,"Review ARSI intensification",IF($S95=1,"Schedule follow-up PSA",IF($T95=1,"Document psychosocial screening","No open gap")))))))))</f>
        <v/>
      </c>
      <c r="AA95" s="6">
        <f>IF($A95="","",IF($X95=0,"No open care gaps",$Y95&amp;" priority · "&amp;$Z95))</f>
        <v/>
      </c>
    </row>
    <row r="96">
      <c r="A96" s="6">
        <f>IF(Demographics_Entry!$A96="","",Demographics_Entry!$A96)</f>
        <v/>
      </c>
      <c r="B96" s="6">
        <f>IF($A96="","",IFERROR(INDEX(Demographics_Entry!$E$5:$E$104,MATCH($A96,Demographics_Entry!$A$5:$A$104,0)),""))</f>
        <v/>
      </c>
      <c r="C96" s="6">
        <f>IF($A96="","",IFERROR(INDEX(Clinical_Entry!$U$5:$U$104,MATCH($A96,Clinical_Entry!$A$5:$A$104,0)),""))</f>
        <v/>
      </c>
      <c r="D96" s="6">
        <f>IF($A96="","",IFERROR(INDEX(Clinical_Entry!$W$5:$W$104,MATCH($A96,Clinical_Entry!$A$5:$A$104,0)),""))</f>
        <v/>
      </c>
      <c r="E96" s="6">
        <f>IF($A96="","",IFERROR(INDEX(Clinical_Entry!$Y$5:$Y$104,MATCH($A96,Clinical_Entry!$A$5:$A$104,0)),""))</f>
        <v/>
      </c>
      <c r="F96" s="6">
        <f>IF($A96="","",IFERROR(INDEX(Clinical_Entry!$Z$5:$Z$104,MATCH($A96,Clinical_Entry!$A$5:$A$104,0)),""))</f>
        <v/>
      </c>
      <c r="G96" s="6">
        <f>IF($A96="","",IFERROR(INDEX(Treatment_Entry!$AA$5:$AA$104,MATCH($A96,Treatment_Entry!$A$5:$A$104,0)),""))</f>
        <v/>
      </c>
      <c r="H96" s="6">
        <f>IF($A96="","",IFERROR(INDEX(Clinical_Entry!$AB$5:$AB$104,MATCH($A96,Clinical_Entry!$A$5:$A$104,0)),""))</f>
        <v/>
      </c>
      <c r="I96" s="6">
        <f>IF($A96="","",IFERROR(INDEX(Clinical_Entry!$AC$5:$AC$104,MATCH($A96,Clinical_Entry!$A$5:$A$104,0)),""))</f>
        <v/>
      </c>
      <c r="J96" s="6">
        <f>IF($A96="","",IFERROR(INDEX(Treatment_Entry!$K$5:$K$104,MATCH($A96,Treatment_Entry!$A$5:$A$104,0)),""))</f>
        <v/>
      </c>
      <c r="K96" s="7">
        <f>IF($A96="","",IFERROR(INDEX(Treatment_Entry!$AC$5:$AC$104,MATCH($A96,Treatment_Entry!$A$5:$A$104,0)),""))</f>
        <v/>
      </c>
      <c r="L96" s="6">
        <f>IF($A96="","",IFERROR(INDEX(Treatment_Entry!$AE$5:$AE$104,MATCH($A96,Treatment_Entry!$A$5:$A$104,0)),""))</f>
        <v/>
      </c>
      <c r="M96" s="8">
        <f>IF($A96="","",IF(AND($E96="Not done",OR($C96="High",$C96="Very High / Locally Advanced",LEFT($C96,2)="M1")),1,0))</f>
        <v/>
      </c>
      <c r="N96" s="8">
        <f>IF($A96="","",IF(AND($F96="Not done",OR($C96="High",$C96="Very High / Locally Advanced")),1,0))</f>
        <v/>
      </c>
      <c r="O96" s="8">
        <f>IF($A96="","",IF($G96="Not started",1,0))</f>
        <v/>
      </c>
      <c r="P96" s="8">
        <f>IF($A96="","",IF($H96="Not done",1,0))</f>
        <v/>
      </c>
      <c r="Q96" s="8">
        <f>IF($A96="","",IF($I96="Not done",1,0))</f>
        <v/>
      </c>
      <c r="R96" s="8">
        <f>IF($A96="","",IF(AND($D96="Hormone-sensitive (HSPC)",$C96="High",$J96="Not initiated"),1,0))</f>
        <v/>
      </c>
      <c r="S96" s="8">
        <f>IF($A96="","",IF($K96="",1,0))</f>
        <v/>
      </c>
      <c r="T96" s="8">
        <f>IF($A96="","",IF(OR($L96="",$L96="Not done"),1,0))</f>
        <v/>
      </c>
      <c r="U96" s="8">
        <f>IF($A96="","",SUM($M96:$O96))</f>
        <v/>
      </c>
      <c r="V96" s="8">
        <f>IF($A96="","",SUM($P96:$R96))</f>
        <v/>
      </c>
      <c r="W96" s="8">
        <f>IF($A96="","",SUM($S96:$T96))</f>
        <v/>
      </c>
      <c r="X96" s="8">
        <f>IF($A96="","",SUM($U96:$W96))</f>
        <v/>
      </c>
      <c r="Y96" s="6">
        <f>IF($A96="","",IF($U96&gt;0,"Urgent",IF($V96&gt;0,"Warning",IF($W96&gt;0,"Info","Closed"))))</f>
        <v/>
      </c>
      <c r="Z96" s="6">
        <f>IF($A96="","",IF($M96=1,"Complete bone scan / SPECT",IF($N96=1,"Complete PSMA PET-CT",IF($O96=1,"Start bone protection plan",IF($P96=1,"Order DEXA",IF($Q96=1,"Order genomics",IF($R96=1,"Review ARSI intensification",IF($S96=1,"Schedule follow-up PSA",IF($T96=1,"Document psychosocial screening","No open gap")))))))))</f>
        <v/>
      </c>
      <c r="AA96" s="6">
        <f>IF($A96="","",IF($X96=0,"No open care gaps",$Y96&amp;" priority · "&amp;$Z96))</f>
        <v/>
      </c>
    </row>
    <row r="97">
      <c r="A97" s="6">
        <f>IF(Demographics_Entry!$A97="","",Demographics_Entry!$A97)</f>
        <v/>
      </c>
      <c r="B97" s="6">
        <f>IF($A97="","",IFERROR(INDEX(Demographics_Entry!$E$5:$E$104,MATCH($A97,Demographics_Entry!$A$5:$A$104,0)),""))</f>
        <v/>
      </c>
      <c r="C97" s="6">
        <f>IF($A97="","",IFERROR(INDEX(Clinical_Entry!$U$5:$U$104,MATCH($A97,Clinical_Entry!$A$5:$A$104,0)),""))</f>
        <v/>
      </c>
      <c r="D97" s="6">
        <f>IF($A97="","",IFERROR(INDEX(Clinical_Entry!$W$5:$W$104,MATCH($A97,Clinical_Entry!$A$5:$A$104,0)),""))</f>
        <v/>
      </c>
      <c r="E97" s="6">
        <f>IF($A97="","",IFERROR(INDEX(Clinical_Entry!$Y$5:$Y$104,MATCH($A97,Clinical_Entry!$A$5:$A$104,0)),""))</f>
        <v/>
      </c>
      <c r="F97" s="6">
        <f>IF($A97="","",IFERROR(INDEX(Clinical_Entry!$Z$5:$Z$104,MATCH($A97,Clinical_Entry!$A$5:$A$104,0)),""))</f>
        <v/>
      </c>
      <c r="G97" s="6">
        <f>IF($A97="","",IFERROR(INDEX(Treatment_Entry!$AA$5:$AA$104,MATCH($A97,Treatment_Entry!$A$5:$A$104,0)),""))</f>
        <v/>
      </c>
      <c r="H97" s="6">
        <f>IF($A97="","",IFERROR(INDEX(Clinical_Entry!$AB$5:$AB$104,MATCH($A97,Clinical_Entry!$A$5:$A$104,0)),""))</f>
        <v/>
      </c>
      <c r="I97" s="6">
        <f>IF($A97="","",IFERROR(INDEX(Clinical_Entry!$AC$5:$AC$104,MATCH($A97,Clinical_Entry!$A$5:$A$104,0)),""))</f>
        <v/>
      </c>
      <c r="J97" s="6">
        <f>IF($A97="","",IFERROR(INDEX(Treatment_Entry!$K$5:$K$104,MATCH($A97,Treatment_Entry!$A$5:$A$104,0)),""))</f>
        <v/>
      </c>
      <c r="K97" s="7">
        <f>IF($A97="","",IFERROR(INDEX(Treatment_Entry!$AC$5:$AC$104,MATCH($A97,Treatment_Entry!$A$5:$A$104,0)),""))</f>
        <v/>
      </c>
      <c r="L97" s="6">
        <f>IF($A97="","",IFERROR(INDEX(Treatment_Entry!$AE$5:$AE$104,MATCH($A97,Treatment_Entry!$A$5:$A$104,0)),""))</f>
        <v/>
      </c>
      <c r="M97" s="8">
        <f>IF($A97="","",IF(AND($E97="Not done",OR($C97="High",$C97="Very High / Locally Advanced",LEFT($C97,2)="M1")),1,0))</f>
        <v/>
      </c>
      <c r="N97" s="8">
        <f>IF($A97="","",IF(AND($F97="Not done",OR($C97="High",$C97="Very High / Locally Advanced")),1,0))</f>
        <v/>
      </c>
      <c r="O97" s="8">
        <f>IF($A97="","",IF($G97="Not started",1,0))</f>
        <v/>
      </c>
      <c r="P97" s="8">
        <f>IF($A97="","",IF($H97="Not done",1,0))</f>
        <v/>
      </c>
      <c r="Q97" s="8">
        <f>IF($A97="","",IF($I97="Not done",1,0))</f>
        <v/>
      </c>
      <c r="R97" s="8">
        <f>IF($A97="","",IF(AND($D97="Hormone-sensitive (HSPC)",$C97="High",$J97="Not initiated"),1,0))</f>
        <v/>
      </c>
      <c r="S97" s="8">
        <f>IF($A97="","",IF($K97="",1,0))</f>
        <v/>
      </c>
      <c r="T97" s="8">
        <f>IF($A97="","",IF(OR($L97="",$L97="Not done"),1,0))</f>
        <v/>
      </c>
      <c r="U97" s="8">
        <f>IF($A97="","",SUM($M97:$O97))</f>
        <v/>
      </c>
      <c r="V97" s="8">
        <f>IF($A97="","",SUM($P97:$R97))</f>
        <v/>
      </c>
      <c r="W97" s="8">
        <f>IF($A97="","",SUM($S97:$T97))</f>
        <v/>
      </c>
      <c r="X97" s="8">
        <f>IF($A97="","",SUM($U97:$W97))</f>
        <v/>
      </c>
      <c r="Y97" s="6">
        <f>IF($A97="","",IF($U97&gt;0,"Urgent",IF($V97&gt;0,"Warning",IF($W97&gt;0,"Info","Closed"))))</f>
        <v/>
      </c>
      <c r="Z97" s="6">
        <f>IF($A97="","",IF($M97=1,"Complete bone scan / SPECT",IF($N97=1,"Complete PSMA PET-CT",IF($O97=1,"Start bone protection plan",IF($P97=1,"Order DEXA",IF($Q97=1,"Order genomics",IF($R97=1,"Review ARSI intensification",IF($S97=1,"Schedule follow-up PSA",IF($T97=1,"Document psychosocial screening","No open gap")))))))))</f>
        <v/>
      </c>
      <c r="AA97" s="6">
        <f>IF($A97="","",IF($X97=0,"No open care gaps",$Y97&amp;" priority · "&amp;$Z97))</f>
        <v/>
      </c>
    </row>
    <row r="98">
      <c r="A98" s="6">
        <f>IF(Demographics_Entry!$A98="","",Demographics_Entry!$A98)</f>
        <v/>
      </c>
      <c r="B98" s="6">
        <f>IF($A98="","",IFERROR(INDEX(Demographics_Entry!$E$5:$E$104,MATCH($A98,Demographics_Entry!$A$5:$A$104,0)),""))</f>
        <v/>
      </c>
      <c r="C98" s="6">
        <f>IF($A98="","",IFERROR(INDEX(Clinical_Entry!$U$5:$U$104,MATCH($A98,Clinical_Entry!$A$5:$A$104,0)),""))</f>
        <v/>
      </c>
      <c r="D98" s="6">
        <f>IF($A98="","",IFERROR(INDEX(Clinical_Entry!$W$5:$W$104,MATCH($A98,Clinical_Entry!$A$5:$A$104,0)),""))</f>
        <v/>
      </c>
      <c r="E98" s="6">
        <f>IF($A98="","",IFERROR(INDEX(Clinical_Entry!$Y$5:$Y$104,MATCH($A98,Clinical_Entry!$A$5:$A$104,0)),""))</f>
        <v/>
      </c>
      <c r="F98" s="6">
        <f>IF($A98="","",IFERROR(INDEX(Clinical_Entry!$Z$5:$Z$104,MATCH($A98,Clinical_Entry!$A$5:$A$104,0)),""))</f>
        <v/>
      </c>
      <c r="G98" s="6">
        <f>IF($A98="","",IFERROR(INDEX(Treatment_Entry!$AA$5:$AA$104,MATCH($A98,Treatment_Entry!$A$5:$A$104,0)),""))</f>
        <v/>
      </c>
      <c r="H98" s="6">
        <f>IF($A98="","",IFERROR(INDEX(Clinical_Entry!$AB$5:$AB$104,MATCH($A98,Clinical_Entry!$A$5:$A$104,0)),""))</f>
        <v/>
      </c>
      <c r="I98" s="6">
        <f>IF($A98="","",IFERROR(INDEX(Clinical_Entry!$AC$5:$AC$104,MATCH($A98,Clinical_Entry!$A$5:$A$104,0)),""))</f>
        <v/>
      </c>
      <c r="J98" s="6">
        <f>IF($A98="","",IFERROR(INDEX(Treatment_Entry!$K$5:$K$104,MATCH($A98,Treatment_Entry!$A$5:$A$104,0)),""))</f>
        <v/>
      </c>
      <c r="K98" s="7">
        <f>IF($A98="","",IFERROR(INDEX(Treatment_Entry!$AC$5:$AC$104,MATCH($A98,Treatment_Entry!$A$5:$A$104,0)),""))</f>
        <v/>
      </c>
      <c r="L98" s="6">
        <f>IF($A98="","",IFERROR(INDEX(Treatment_Entry!$AE$5:$AE$104,MATCH($A98,Treatment_Entry!$A$5:$A$104,0)),""))</f>
        <v/>
      </c>
      <c r="M98" s="8">
        <f>IF($A98="","",IF(AND($E98="Not done",OR($C98="High",$C98="Very High / Locally Advanced",LEFT($C98,2)="M1")),1,0))</f>
        <v/>
      </c>
      <c r="N98" s="8">
        <f>IF($A98="","",IF(AND($F98="Not done",OR($C98="High",$C98="Very High / Locally Advanced")),1,0))</f>
        <v/>
      </c>
      <c r="O98" s="8">
        <f>IF($A98="","",IF($G98="Not started",1,0))</f>
        <v/>
      </c>
      <c r="P98" s="8">
        <f>IF($A98="","",IF($H98="Not done",1,0))</f>
        <v/>
      </c>
      <c r="Q98" s="8">
        <f>IF($A98="","",IF($I98="Not done",1,0))</f>
        <v/>
      </c>
      <c r="R98" s="8">
        <f>IF($A98="","",IF(AND($D98="Hormone-sensitive (HSPC)",$C98="High",$J98="Not initiated"),1,0))</f>
        <v/>
      </c>
      <c r="S98" s="8">
        <f>IF($A98="","",IF($K98="",1,0))</f>
        <v/>
      </c>
      <c r="T98" s="8">
        <f>IF($A98="","",IF(OR($L98="",$L98="Not done"),1,0))</f>
        <v/>
      </c>
      <c r="U98" s="8">
        <f>IF($A98="","",SUM($M98:$O98))</f>
        <v/>
      </c>
      <c r="V98" s="8">
        <f>IF($A98="","",SUM($P98:$R98))</f>
        <v/>
      </c>
      <c r="W98" s="8">
        <f>IF($A98="","",SUM($S98:$T98))</f>
        <v/>
      </c>
      <c r="X98" s="8">
        <f>IF($A98="","",SUM($U98:$W98))</f>
        <v/>
      </c>
      <c r="Y98" s="6">
        <f>IF($A98="","",IF($U98&gt;0,"Urgent",IF($V98&gt;0,"Warning",IF($W98&gt;0,"Info","Closed"))))</f>
        <v/>
      </c>
      <c r="Z98" s="6">
        <f>IF($A98="","",IF($M98=1,"Complete bone scan / SPECT",IF($N98=1,"Complete PSMA PET-CT",IF($O98=1,"Start bone protection plan",IF($P98=1,"Order DEXA",IF($Q98=1,"Order genomics",IF($R98=1,"Review ARSI intensification",IF($S98=1,"Schedule follow-up PSA",IF($T98=1,"Document psychosocial screening","No open gap")))))))))</f>
        <v/>
      </c>
      <c r="AA98" s="6">
        <f>IF($A98="","",IF($X98=0,"No open care gaps",$Y98&amp;" priority · "&amp;$Z98))</f>
        <v/>
      </c>
    </row>
    <row r="99">
      <c r="A99" s="6">
        <f>IF(Demographics_Entry!$A99="","",Demographics_Entry!$A99)</f>
        <v/>
      </c>
      <c r="B99" s="6">
        <f>IF($A99="","",IFERROR(INDEX(Demographics_Entry!$E$5:$E$104,MATCH($A99,Demographics_Entry!$A$5:$A$104,0)),""))</f>
        <v/>
      </c>
      <c r="C99" s="6">
        <f>IF($A99="","",IFERROR(INDEX(Clinical_Entry!$U$5:$U$104,MATCH($A99,Clinical_Entry!$A$5:$A$104,0)),""))</f>
        <v/>
      </c>
      <c r="D99" s="6">
        <f>IF($A99="","",IFERROR(INDEX(Clinical_Entry!$W$5:$W$104,MATCH($A99,Clinical_Entry!$A$5:$A$104,0)),""))</f>
        <v/>
      </c>
      <c r="E99" s="6">
        <f>IF($A99="","",IFERROR(INDEX(Clinical_Entry!$Y$5:$Y$104,MATCH($A99,Clinical_Entry!$A$5:$A$104,0)),""))</f>
        <v/>
      </c>
      <c r="F99" s="6">
        <f>IF($A99="","",IFERROR(INDEX(Clinical_Entry!$Z$5:$Z$104,MATCH($A99,Clinical_Entry!$A$5:$A$104,0)),""))</f>
        <v/>
      </c>
      <c r="G99" s="6">
        <f>IF($A99="","",IFERROR(INDEX(Treatment_Entry!$AA$5:$AA$104,MATCH($A99,Treatment_Entry!$A$5:$A$104,0)),""))</f>
        <v/>
      </c>
      <c r="H99" s="6">
        <f>IF($A99="","",IFERROR(INDEX(Clinical_Entry!$AB$5:$AB$104,MATCH($A99,Clinical_Entry!$A$5:$A$104,0)),""))</f>
        <v/>
      </c>
      <c r="I99" s="6">
        <f>IF($A99="","",IFERROR(INDEX(Clinical_Entry!$AC$5:$AC$104,MATCH($A99,Clinical_Entry!$A$5:$A$104,0)),""))</f>
        <v/>
      </c>
      <c r="J99" s="6">
        <f>IF($A99="","",IFERROR(INDEX(Treatment_Entry!$K$5:$K$104,MATCH($A99,Treatment_Entry!$A$5:$A$104,0)),""))</f>
        <v/>
      </c>
      <c r="K99" s="7">
        <f>IF($A99="","",IFERROR(INDEX(Treatment_Entry!$AC$5:$AC$104,MATCH($A99,Treatment_Entry!$A$5:$A$104,0)),""))</f>
        <v/>
      </c>
      <c r="L99" s="6">
        <f>IF($A99="","",IFERROR(INDEX(Treatment_Entry!$AE$5:$AE$104,MATCH($A99,Treatment_Entry!$A$5:$A$104,0)),""))</f>
        <v/>
      </c>
      <c r="M99" s="8">
        <f>IF($A99="","",IF(AND($E99="Not done",OR($C99="High",$C99="Very High / Locally Advanced",LEFT($C99,2)="M1")),1,0))</f>
        <v/>
      </c>
      <c r="N99" s="8">
        <f>IF($A99="","",IF(AND($F99="Not done",OR($C99="High",$C99="Very High / Locally Advanced")),1,0))</f>
        <v/>
      </c>
      <c r="O99" s="8">
        <f>IF($A99="","",IF($G99="Not started",1,0))</f>
        <v/>
      </c>
      <c r="P99" s="8">
        <f>IF($A99="","",IF($H99="Not done",1,0))</f>
        <v/>
      </c>
      <c r="Q99" s="8">
        <f>IF($A99="","",IF($I99="Not done",1,0))</f>
        <v/>
      </c>
      <c r="R99" s="8">
        <f>IF($A99="","",IF(AND($D99="Hormone-sensitive (HSPC)",$C99="High",$J99="Not initiated"),1,0))</f>
        <v/>
      </c>
      <c r="S99" s="8">
        <f>IF($A99="","",IF($K99="",1,0))</f>
        <v/>
      </c>
      <c r="T99" s="8">
        <f>IF($A99="","",IF(OR($L99="",$L99="Not done"),1,0))</f>
        <v/>
      </c>
      <c r="U99" s="8">
        <f>IF($A99="","",SUM($M99:$O99))</f>
        <v/>
      </c>
      <c r="V99" s="8">
        <f>IF($A99="","",SUM($P99:$R99))</f>
        <v/>
      </c>
      <c r="W99" s="8">
        <f>IF($A99="","",SUM($S99:$T99))</f>
        <v/>
      </c>
      <c r="X99" s="8">
        <f>IF($A99="","",SUM($U99:$W99))</f>
        <v/>
      </c>
      <c r="Y99" s="6">
        <f>IF($A99="","",IF($U99&gt;0,"Urgent",IF($V99&gt;0,"Warning",IF($W99&gt;0,"Info","Closed"))))</f>
        <v/>
      </c>
      <c r="Z99" s="6">
        <f>IF($A99="","",IF($M99=1,"Complete bone scan / SPECT",IF($N99=1,"Complete PSMA PET-CT",IF($O99=1,"Start bone protection plan",IF($P99=1,"Order DEXA",IF($Q99=1,"Order genomics",IF($R99=1,"Review ARSI intensification",IF($S99=1,"Schedule follow-up PSA",IF($T99=1,"Document psychosocial screening","No open gap")))))))))</f>
        <v/>
      </c>
      <c r="AA99" s="6">
        <f>IF($A99="","",IF($X99=0,"No open care gaps",$Y99&amp;" priority · "&amp;$Z99))</f>
        <v/>
      </c>
    </row>
    <row r="100">
      <c r="A100" s="6">
        <f>IF(Demographics_Entry!$A100="","",Demographics_Entry!$A100)</f>
        <v/>
      </c>
      <c r="B100" s="6">
        <f>IF($A100="","",IFERROR(INDEX(Demographics_Entry!$E$5:$E$104,MATCH($A100,Demographics_Entry!$A$5:$A$104,0)),""))</f>
        <v/>
      </c>
      <c r="C100" s="6">
        <f>IF($A100="","",IFERROR(INDEX(Clinical_Entry!$U$5:$U$104,MATCH($A100,Clinical_Entry!$A$5:$A$104,0)),""))</f>
        <v/>
      </c>
      <c r="D100" s="6">
        <f>IF($A100="","",IFERROR(INDEX(Clinical_Entry!$W$5:$W$104,MATCH($A100,Clinical_Entry!$A$5:$A$104,0)),""))</f>
        <v/>
      </c>
      <c r="E100" s="6">
        <f>IF($A100="","",IFERROR(INDEX(Clinical_Entry!$Y$5:$Y$104,MATCH($A100,Clinical_Entry!$A$5:$A$104,0)),""))</f>
        <v/>
      </c>
      <c r="F100" s="6">
        <f>IF($A100="","",IFERROR(INDEX(Clinical_Entry!$Z$5:$Z$104,MATCH($A100,Clinical_Entry!$A$5:$A$104,0)),""))</f>
        <v/>
      </c>
      <c r="G100" s="6">
        <f>IF($A100="","",IFERROR(INDEX(Treatment_Entry!$AA$5:$AA$104,MATCH($A100,Treatment_Entry!$A$5:$A$104,0)),""))</f>
        <v/>
      </c>
      <c r="H100" s="6">
        <f>IF($A100="","",IFERROR(INDEX(Clinical_Entry!$AB$5:$AB$104,MATCH($A100,Clinical_Entry!$A$5:$A$104,0)),""))</f>
        <v/>
      </c>
      <c r="I100" s="6">
        <f>IF($A100="","",IFERROR(INDEX(Clinical_Entry!$AC$5:$AC$104,MATCH($A100,Clinical_Entry!$A$5:$A$104,0)),""))</f>
        <v/>
      </c>
      <c r="J100" s="6">
        <f>IF($A100="","",IFERROR(INDEX(Treatment_Entry!$K$5:$K$104,MATCH($A100,Treatment_Entry!$A$5:$A$104,0)),""))</f>
        <v/>
      </c>
      <c r="K100" s="7">
        <f>IF($A100="","",IFERROR(INDEX(Treatment_Entry!$AC$5:$AC$104,MATCH($A100,Treatment_Entry!$A$5:$A$104,0)),""))</f>
        <v/>
      </c>
      <c r="L100" s="6">
        <f>IF($A100="","",IFERROR(INDEX(Treatment_Entry!$AE$5:$AE$104,MATCH($A100,Treatment_Entry!$A$5:$A$104,0)),""))</f>
        <v/>
      </c>
      <c r="M100" s="8">
        <f>IF($A100="","",IF(AND($E100="Not done",OR($C100="High",$C100="Very High / Locally Advanced",LEFT($C100,2)="M1")),1,0))</f>
        <v/>
      </c>
      <c r="N100" s="8">
        <f>IF($A100="","",IF(AND($F100="Not done",OR($C100="High",$C100="Very High / Locally Advanced")),1,0))</f>
        <v/>
      </c>
      <c r="O100" s="8">
        <f>IF($A100="","",IF($G100="Not started",1,0))</f>
        <v/>
      </c>
      <c r="P100" s="8">
        <f>IF($A100="","",IF($H100="Not done",1,0))</f>
        <v/>
      </c>
      <c r="Q100" s="8">
        <f>IF($A100="","",IF($I100="Not done",1,0))</f>
        <v/>
      </c>
      <c r="R100" s="8">
        <f>IF($A100="","",IF(AND($D100="Hormone-sensitive (HSPC)",$C100="High",$J100="Not initiated"),1,0))</f>
        <v/>
      </c>
      <c r="S100" s="8">
        <f>IF($A100="","",IF($K100="",1,0))</f>
        <v/>
      </c>
      <c r="T100" s="8">
        <f>IF($A100="","",IF(OR($L100="",$L100="Not done"),1,0))</f>
        <v/>
      </c>
      <c r="U100" s="8">
        <f>IF($A100="","",SUM($M100:$O100))</f>
        <v/>
      </c>
      <c r="V100" s="8">
        <f>IF($A100="","",SUM($P100:$R100))</f>
        <v/>
      </c>
      <c r="W100" s="8">
        <f>IF($A100="","",SUM($S100:$T100))</f>
        <v/>
      </c>
      <c r="X100" s="8">
        <f>IF($A100="","",SUM($U100:$W100))</f>
        <v/>
      </c>
      <c r="Y100" s="6">
        <f>IF($A100="","",IF($U100&gt;0,"Urgent",IF($V100&gt;0,"Warning",IF($W100&gt;0,"Info","Closed"))))</f>
        <v/>
      </c>
      <c r="Z100" s="6">
        <f>IF($A100="","",IF($M100=1,"Complete bone scan / SPECT",IF($N100=1,"Complete PSMA PET-CT",IF($O100=1,"Start bone protection plan",IF($P100=1,"Order DEXA",IF($Q100=1,"Order genomics",IF($R100=1,"Review ARSI intensification",IF($S100=1,"Schedule follow-up PSA",IF($T100=1,"Document psychosocial screening","No open gap")))))))))</f>
        <v/>
      </c>
      <c r="AA100" s="6">
        <f>IF($A100="","",IF($X100=0,"No open care gaps",$Y100&amp;" priority · "&amp;$Z100))</f>
        <v/>
      </c>
    </row>
    <row r="101">
      <c r="A101" s="6">
        <f>IF(Demographics_Entry!$A101="","",Demographics_Entry!$A101)</f>
        <v/>
      </c>
      <c r="B101" s="6">
        <f>IF($A101="","",IFERROR(INDEX(Demographics_Entry!$E$5:$E$104,MATCH($A101,Demographics_Entry!$A$5:$A$104,0)),""))</f>
        <v/>
      </c>
      <c r="C101" s="6">
        <f>IF($A101="","",IFERROR(INDEX(Clinical_Entry!$U$5:$U$104,MATCH($A101,Clinical_Entry!$A$5:$A$104,0)),""))</f>
        <v/>
      </c>
      <c r="D101" s="6">
        <f>IF($A101="","",IFERROR(INDEX(Clinical_Entry!$W$5:$W$104,MATCH($A101,Clinical_Entry!$A$5:$A$104,0)),""))</f>
        <v/>
      </c>
      <c r="E101" s="6">
        <f>IF($A101="","",IFERROR(INDEX(Clinical_Entry!$Y$5:$Y$104,MATCH($A101,Clinical_Entry!$A$5:$A$104,0)),""))</f>
        <v/>
      </c>
      <c r="F101" s="6">
        <f>IF($A101="","",IFERROR(INDEX(Clinical_Entry!$Z$5:$Z$104,MATCH($A101,Clinical_Entry!$A$5:$A$104,0)),""))</f>
        <v/>
      </c>
      <c r="G101" s="6">
        <f>IF($A101="","",IFERROR(INDEX(Treatment_Entry!$AA$5:$AA$104,MATCH($A101,Treatment_Entry!$A$5:$A$104,0)),""))</f>
        <v/>
      </c>
      <c r="H101" s="6">
        <f>IF($A101="","",IFERROR(INDEX(Clinical_Entry!$AB$5:$AB$104,MATCH($A101,Clinical_Entry!$A$5:$A$104,0)),""))</f>
        <v/>
      </c>
      <c r="I101" s="6">
        <f>IF($A101="","",IFERROR(INDEX(Clinical_Entry!$AC$5:$AC$104,MATCH($A101,Clinical_Entry!$A$5:$A$104,0)),""))</f>
        <v/>
      </c>
      <c r="J101" s="6">
        <f>IF($A101="","",IFERROR(INDEX(Treatment_Entry!$K$5:$K$104,MATCH($A101,Treatment_Entry!$A$5:$A$104,0)),""))</f>
        <v/>
      </c>
      <c r="K101" s="7">
        <f>IF($A101="","",IFERROR(INDEX(Treatment_Entry!$AC$5:$AC$104,MATCH($A101,Treatment_Entry!$A$5:$A$104,0)),""))</f>
        <v/>
      </c>
      <c r="L101" s="6">
        <f>IF($A101="","",IFERROR(INDEX(Treatment_Entry!$AE$5:$AE$104,MATCH($A101,Treatment_Entry!$A$5:$A$104,0)),""))</f>
        <v/>
      </c>
      <c r="M101" s="8">
        <f>IF($A101="","",IF(AND($E101="Not done",OR($C101="High",$C101="Very High / Locally Advanced",LEFT($C101,2)="M1")),1,0))</f>
        <v/>
      </c>
      <c r="N101" s="8">
        <f>IF($A101="","",IF(AND($F101="Not done",OR($C101="High",$C101="Very High / Locally Advanced")),1,0))</f>
        <v/>
      </c>
      <c r="O101" s="8">
        <f>IF($A101="","",IF($G101="Not started",1,0))</f>
        <v/>
      </c>
      <c r="P101" s="8">
        <f>IF($A101="","",IF($H101="Not done",1,0))</f>
        <v/>
      </c>
      <c r="Q101" s="8">
        <f>IF($A101="","",IF($I101="Not done",1,0))</f>
        <v/>
      </c>
      <c r="R101" s="8">
        <f>IF($A101="","",IF(AND($D101="Hormone-sensitive (HSPC)",$C101="High",$J101="Not initiated"),1,0))</f>
        <v/>
      </c>
      <c r="S101" s="8">
        <f>IF($A101="","",IF($K101="",1,0))</f>
        <v/>
      </c>
      <c r="T101" s="8">
        <f>IF($A101="","",IF(OR($L101="",$L101="Not done"),1,0))</f>
        <v/>
      </c>
      <c r="U101" s="8">
        <f>IF($A101="","",SUM($M101:$O101))</f>
        <v/>
      </c>
      <c r="V101" s="8">
        <f>IF($A101="","",SUM($P101:$R101))</f>
        <v/>
      </c>
      <c r="W101" s="8">
        <f>IF($A101="","",SUM($S101:$T101))</f>
        <v/>
      </c>
      <c r="X101" s="8">
        <f>IF($A101="","",SUM($U101:$W101))</f>
        <v/>
      </c>
      <c r="Y101" s="6">
        <f>IF($A101="","",IF($U101&gt;0,"Urgent",IF($V101&gt;0,"Warning",IF($W101&gt;0,"Info","Closed"))))</f>
        <v/>
      </c>
      <c r="Z101" s="6">
        <f>IF($A101="","",IF($M101=1,"Complete bone scan / SPECT",IF($N101=1,"Complete PSMA PET-CT",IF($O101=1,"Start bone protection plan",IF($P101=1,"Order DEXA",IF($Q101=1,"Order genomics",IF($R101=1,"Review ARSI intensification",IF($S101=1,"Schedule follow-up PSA",IF($T101=1,"Document psychosocial screening","No open gap")))))))))</f>
        <v/>
      </c>
      <c r="AA101" s="6">
        <f>IF($A101="","",IF($X101=0,"No open care gaps",$Y101&amp;" priority · "&amp;$Z101))</f>
        <v/>
      </c>
    </row>
    <row r="102">
      <c r="A102" s="6">
        <f>IF(Demographics_Entry!$A102="","",Demographics_Entry!$A102)</f>
        <v/>
      </c>
      <c r="B102" s="6">
        <f>IF($A102="","",IFERROR(INDEX(Demographics_Entry!$E$5:$E$104,MATCH($A102,Demographics_Entry!$A$5:$A$104,0)),""))</f>
        <v/>
      </c>
      <c r="C102" s="6">
        <f>IF($A102="","",IFERROR(INDEX(Clinical_Entry!$U$5:$U$104,MATCH($A102,Clinical_Entry!$A$5:$A$104,0)),""))</f>
        <v/>
      </c>
      <c r="D102" s="6">
        <f>IF($A102="","",IFERROR(INDEX(Clinical_Entry!$W$5:$W$104,MATCH($A102,Clinical_Entry!$A$5:$A$104,0)),""))</f>
        <v/>
      </c>
      <c r="E102" s="6">
        <f>IF($A102="","",IFERROR(INDEX(Clinical_Entry!$Y$5:$Y$104,MATCH($A102,Clinical_Entry!$A$5:$A$104,0)),""))</f>
        <v/>
      </c>
      <c r="F102" s="6">
        <f>IF($A102="","",IFERROR(INDEX(Clinical_Entry!$Z$5:$Z$104,MATCH($A102,Clinical_Entry!$A$5:$A$104,0)),""))</f>
        <v/>
      </c>
      <c r="G102" s="6">
        <f>IF($A102="","",IFERROR(INDEX(Treatment_Entry!$AA$5:$AA$104,MATCH($A102,Treatment_Entry!$A$5:$A$104,0)),""))</f>
        <v/>
      </c>
      <c r="H102" s="6">
        <f>IF($A102="","",IFERROR(INDEX(Clinical_Entry!$AB$5:$AB$104,MATCH($A102,Clinical_Entry!$A$5:$A$104,0)),""))</f>
        <v/>
      </c>
      <c r="I102" s="6">
        <f>IF($A102="","",IFERROR(INDEX(Clinical_Entry!$AC$5:$AC$104,MATCH($A102,Clinical_Entry!$A$5:$A$104,0)),""))</f>
        <v/>
      </c>
      <c r="J102" s="6">
        <f>IF($A102="","",IFERROR(INDEX(Treatment_Entry!$K$5:$K$104,MATCH($A102,Treatment_Entry!$A$5:$A$104,0)),""))</f>
        <v/>
      </c>
      <c r="K102" s="7">
        <f>IF($A102="","",IFERROR(INDEX(Treatment_Entry!$AC$5:$AC$104,MATCH($A102,Treatment_Entry!$A$5:$A$104,0)),""))</f>
        <v/>
      </c>
      <c r="L102" s="6">
        <f>IF($A102="","",IFERROR(INDEX(Treatment_Entry!$AE$5:$AE$104,MATCH($A102,Treatment_Entry!$A$5:$A$104,0)),""))</f>
        <v/>
      </c>
      <c r="M102" s="8">
        <f>IF($A102="","",IF(AND($E102="Not done",OR($C102="High",$C102="Very High / Locally Advanced",LEFT($C102,2)="M1")),1,0))</f>
        <v/>
      </c>
      <c r="N102" s="8">
        <f>IF($A102="","",IF(AND($F102="Not done",OR($C102="High",$C102="Very High / Locally Advanced")),1,0))</f>
        <v/>
      </c>
      <c r="O102" s="8">
        <f>IF($A102="","",IF($G102="Not started",1,0))</f>
        <v/>
      </c>
      <c r="P102" s="8">
        <f>IF($A102="","",IF($H102="Not done",1,0))</f>
        <v/>
      </c>
      <c r="Q102" s="8">
        <f>IF($A102="","",IF($I102="Not done",1,0))</f>
        <v/>
      </c>
      <c r="R102" s="8">
        <f>IF($A102="","",IF(AND($D102="Hormone-sensitive (HSPC)",$C102="High",$J102="Not initiated"),1,0))</f>
        <v/>
      </c>
      <c r="S102" s="8">
        <f>IF($A102="","",IF($K102="",1,0))</f>
        <v/>
      </c>
      <c r="T102" s="8">
        <f>IF($A102="","",IF(OR($L102="",$L102="Not done"),1,0))</f>
        <v/>
      </c>
      <c r="U102" s="8">
        <f>IF($A102="","",SUM($M102:$O102))</f>
        <v/>
      </c>
      <c r="V102" s="8">
        <f>IF($A102="","",SUM($P102:$R102))</f>
        <v/>
      </c>
      <c r="W102" s="8">
        <f>IF($A102="","",SUM($S102:$T102))</f>
        <v/>
      </c>
      <c r="X102" s="8">
        <f>IF($A102="","",SUM($U102:$W102))</f>
        <v/>
      </c>
      <c r="Y102" s="6">
        <f>IF($A102="","",IF($U102&gt;0,"Urgent",IF($V102&gt;0,"Warning",IF($W102&gt;0,"Info","Closed"))))</f>
        <v/>
      </c>
      <c r="Z102" s="6">
        <f>IF($A102="","",IF($M102=1,"Complete bone scan / SPECT",IF($N102=1,"Complete PSMA PET-CT",IF($O102=1,"Start bone protection plan",IF($P102=1,"Order DEXA",IF($Q102=1,"Order genomics",IF($R102=1,"Review ARSI intensification",IF($S102=1,"Schedule follow-up PSA",IF($T102=1,"Document psychosocial screening","No open gap")))))))))</f>
        <v/>
      </c>
      <c r="AA102" s="6">
        <f>IF($A102="","",IF($X102=0,"No open care gaps",$Y102&amp;" priority · "&amp;$Z102))</f>
        <v/>
      </c>
    </row>
    <row r="103">
      <c r="A103" s="6">
        <f>IF(Demographics_Entry!$A103="","",Demographics_Entry!$A103)</f>
        <v/>
      </c>
      <c r="B103" s="6">
        <f>IF($A103="","",IFERROR(INDEX(Demographics_Entry!$E$5:$E$104,MATCH($A103,Demographics_Entry!$A$5:$A$104,0)),""))</f>
        <v/>
      </c>
      <c r="C103" s="6">
        <f>IF($A103="","",IFERROR(INDEX(Clinical_Entry!$U$5:$U$104,MATCH($A103,Clinical_Entry!$A$5:$A$104,0)),""))</f>
        <v/>
      </c>
      <c r="D103" s="6">
        <f>IF($A103="","",IFERROR(INDEX(Clinical_Entry!$W$5:$W$104,MATCH($A103,Clinical_Entry!$A$5:$A$104,0)),""))</f>
        <v/>
      </c>
      <c r="E103" s="6">
        <f>IF($A103="","",IFERROR(INDEX(Clinical_Entry!$Y$5:$Y$104,MATCH($A103,Clinical_Entry!$A$5:$A$104,0)),""))</f>
        <v/>
      </c>
      <c r="F103" s="6">
        <f>IF($A103="","",IFERROR(INDEX(Clinical_Entry!$Z$5:$Z$104,MATCH($A103,Clinical_Entry!$A$5:$A$104,0)),""))</f>
        <v/>
      </c>
      <c r="G103" s="6">
        <f>IF($A103="","",IFERROR(INDEX(Treatment_Entry!$AA$5:$AA$104,MATCH($A103,Treatment_Entry!$A$5:$A$104,0)),""))</f>
        <v/>
      </c>
      <c r="H103" s="6">
        <f>IF($A103="","",IFERROR(INDEX(Clinical_Entry!$AB$5:$AB$104,MATCH($A103,Clinical_Entry!$A$5:$A$104,0)),""))</f>
        <v/>
      </c>
      <c r="I103" s="6">
        <f>IF($A103="","",IFERROR(INDEX(Clinical_Entry!$AC$5:$AC$104,MATCH($A103,Clinical_Entry!$A$5:$A$104,0)),""))</f>
        <v/>
      </c>
      <c r="J103" s="6">
        <f>IF($A103="","",IFERROR(INDEX(Treatment_Entry!$K$5:$K$104,MATCH($A103,Treatment_Entry!$A$5:$A$104,0)),""))</f>
        <v/>
      </c>
      <c r="K103" s="7">
        <f>IF($A103="","",IFERROR(INDEX(Treatment_Entry!$AC$5:$AC$104,MATCH($A103,Treatment_Entry!$A$5:$A$104,0)),""))</f>
        <v/>
      </c>
      <c r="L103" s="6">
        <f>IF($A103="","",IFERROR(INDEX(Treatment_Entry!$AE$5:$AE$104,MATCH($A103,Treatment_Entry!$A$5:$A$104,0)),""))</f>
        <v/>
      </c>
      <c r="M103" s="8">
        <f>IF($A103="","",IF(AND($E103="Not done",OR($C103="High",$C103="Very High / Locally Advanced",LEFT($C103,2)="M1")),1,0))</f>
        <v/>
      </c>
      <c r="N103" s="8">
        <f>IF($A103="","",IF(AND($F103="Not done",OR($C103="High",$C103="Very High / Locally Advanced")),1,0))</f>
        <v/>
      </c>
      <c r="O103" s="8">
        <f>IF($A103="","",IF($G103="Not started",1,0))</f>
        <v/>
      </c>
      <c r="P103" s="8">
        <f>IF($A103="","",IF($H103="Not done",1,0))</f>
        <v/>
      </c>
      <c r="Q103" s="8">
        <f>IF($A103="","",IF($I103="Not done",1,0))</f>
        <v/>
      </c>
      <c r="R103" s="8">
        <f>IF($A103="","",IF(AND($D103="Hormone-sensitive (HSPC)",$C103="High",$J103="Not initiated"),1,0))</f>
        <v/>
      </c>
      <c r="S103" s="8">
        <f>IF($A103="","",IF($K103="",1,0))</f>
        <v/>
      </c>
      <c r="T103" s="8">
        <f>IF($A103="","",IF(OR($L103="",$L103="Not done"),1,0))</f>
        <v/>
      </c>
      <c r="U103" s="8">
        <f>IF($A103="","",SUM($M103:$O103))</f>
        <v/>
      </c>
      <c r="V103" s="8">
        <f>IF($A103="","",SUM($P103:$R103))</f>
        <v/>
      </c>
      <c r="W103" s="8">
        <f>IF($A103="","",SUM($S103:$T103))</f>
        <v/>
      </c>
      <c r="X103" s="8">
        <f>IF($A103="","",SUM($U103:$W103))</f>
        <v/>
      </c>
      <c r="Y103" s="6">
        <f>IF($A103="","",IF($U103&gt;0,"Urgent",IF($V103&gt;0,"Warning",IF($W103&gt;0,"Info","Closed"))))</f>
        <v/>
      </c>
      <c r="Z103" s="6">
        <f>IF($A103="","",IF($M103=1,"Complete bone scan / SPECT",IF($N103=1,"Complete PSMA PET-CT",IF($O103=1,"Start bone protection plan",IF($P103=1,"Order DEXA",IF($Q103=1,"Order genomics",IF($R103=1,"Review ARSI intensification",IF($S103=1,"Schedule follow-up PSA",IF($T103=1,"Document psychosocial screening","No open gap")))))))))</f>
        <v/>
      </c>
      <c r="AA103" s="6">
        <f>IF($A103="","",IF($X103=0,"No open care gaps",$Y103&amp;" priority · "&amp;$Z103))</f>
        <v/>
      </c>
    </row>
    <row r="104">
      <c r="A104" s="6">
        <f>IF(Demographics_Entry!$A104="","",Demographics_Entry!$A104)</f>
        <v/>
      </c>
      <c r="B104" s="6">
        <f>IF($A104="","",IFERROR(INDEX(Demographics_Entry!$E$5:$E$104,MATCH($A104,Demographics_Entry!$A$5:$A$104,0)),""))</f>
        <v/>
      </c>
      <c r="C104" s="6">
        <f>IF($A104="","",IFERROR(INDEX(Clinical_Entry!$U$5:$U$104,MATCH($A104,Clinical_Entry!$A$5:$A$104,0)),""))</f>
        <v/>
      </c>
      <c r="D104" s="6">
        <f>IF($A104="","",IFERROR(INDEX(Clinical_Entry!$W$5:$W$104,MATCH($A104,Clinical_Entry!$A$5:$A$104,0)),""))</f>
        <v/>
      </c>
      <c r="E104" s="6">
        <f>IF($A104="","",IFERROR(INDEX(Clinical_Entry!$Y$5:$Y$104,MATCH($A104,Clinical_Entry!$A$5:$A$104,0)),""))</f>
        <v/>
      </c>
      <c r="F104" s="6">
        <f>IF($A104="","",IFERROR(INDEX(Clinical_Entry!$Z$5:$Z$104,MATCH($A104,Clinical_Entry!$A$5:$A$104,0)),""))</f>
        <v/>
      </c>
      <c r="G104" s="6">
        <f>IF($A104="","",IFERROR(INDEX(Treatment_Entry!$AA$5:$AA$104,MATCH($A104,Treatment_Entry!$A$5:$A$104,0)),""))</f>
        <v/>
      </c>
      <c r="H104" s="6">
        <f>IF($A104="","",IFERROR(INDEX(Clinical_Entry!$AB$5:$AB$104,MATCH($A104,Clinical_Entry!$A$5:$A$104,0)),""))</f>
        <v/>
      </c>
      <c r="I104" s="6">
        <f>IF($A104="","",IFERROR(INDEX(Clinical_Entry!$AC$5:$AC$104,MATCH($A104,Clinical_Entry!$A$5:$A$104,0)),""))</f>
        <v/>
      </c>
      <c r="J104" s="6">
        <f>IF($A104="","",IFERROR(INDEX(Treatment_Entry!$K$5:$K$104,MATCH($A104,Treatment_Entry!$A$5:$A$104,0)),""))</f>
        <v/>
      </c>
      <c r="K104" s="7">
        <f>IF($A104="","",IFERROR(INDEX(Treatment_Entry!$AC$5:$AC$104,MATCH($A104,Treatment_Entry!$A$5:$A$104,0)),""))</f>
        <v/>
      </c>
      <c r="L104" s="6">
        <f>IF($A104="","",IFERROR(INDEX(Treatment_Entry!$AE$5:$AE$104,MATCH($A104,Treatment_Entry!$A$5:$A$104,0)),""))</f>
        <v/>
      </c>
      <c r="M104" s="8">
        <f>IF($A104="","",IF(AND($E104="Not done",OR($C104="High",$C104="Very High / Locally Advanced",LEFT($C104,2)="M1")),1,0))</f>
        <v/>
      </c>
      <c r="N104" s="8">
        <f>IF($A104="","",IF(AND($F104="Not done",OR($C104="High",$C104="Very High / Locally Advanced")),1,0))</f>
        <v/>
      </c>
      <c r="O104" s="8">
        <f>IF($A104="","",IF($G104="Not started",1,0))</f>
        <v/>
      </c>
      <c r="P104" s="8">
        <f>IF($A104="","",IF($H104="Not done",1,0))</f>
        <v/>
      </c>
      <c r="Q104" s="8">
        <f>IF($A104="","",IF($I104="Not done",1,0))</f>
        <v/>
      </c>
      <c r="R104" s="8">
        <f>IF($A104="","",IF(AND($D104="Hormone-sensitive (HSPC)",$C104="High",$J104="Not initiated"),1,0))</f>
        <v/>
      </c>
      <c r="S104" s="8">
        <f>IF($A104="","",IF($K104="",1,0))</f>
        <v/>
      </c>
      <c r="T104" s="8">
        <f>IF($A104="","",IF(OR($L104="",$L104="Not done"),1,0))</f>
        <v/>
      </c>
      <c r="U104" s="8">
        <f>IF($A104="","",SUM($M104:$O104))</f>
        <v/>
      </c>
      <c r="V104" s="8">
        <f>IF($A104="","",SUM($P104:$R104))</f>
        <v/>
      </c>
      <c r="W104" s="8">
        <f>IF($A104="","",SUM($S104:$T104))</f>
        <v/>
      </c>
      <c r="X104" s="8">
        <f>IF($A104="","",SUM($U104:$W104))</f>
        <v/>
      </c>
      <c r="Y104" s="6">
        <f>IF($A104="","",IF($U104&gt;0,"Urgent",IF($V104&gt;0,"Warning",IF($W104&gt;0,"Info","Closed"))))</f>
        <v/>
      </c>
      <c r="Z104" s="6">
        <f>IF($A104="","",IF($M104=1,"Complete bone scan / SPECT",IF($N104=1,"Complete PSMA PET-CT",IF($O104=1,"Start bone protection plan",IF($P104=1,"Order DEXA",IF($Q104=1,"Order genomics",IF($R104=1,"Review ARSI intensification",IF($S104=1,"Schedule follow-up PSA",IF($T104=1,"Document psychosocial screening","No open gap")))))))))</f>
        <v/>
      </c>
      <c r="AA104" s="6">
        <f>IF($A104="","",IF($X104=0,"No open care gaps",$Y104&amp;" priority · "&amp;$Z104))</f>
        <v/>
      </c>
    </row>
  </sheetData>
  <mergeCells count="2">
    <mergeCell ref="A1:AA1"/>
    <mergeCell ref="A2:AA2"/>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N104"/>
  <sheetViews>
    <sheetView showGridLines="0" zoomScale="90" zoomScaleNormal="90" workbookViewId="0">
      <selection activeCell="G18" sqref="G18"/>
    </sheetView>
  </sheetViews>
  <sheetFormatPr baseColWidth="8" defaultColWidth="8.875" defaultRowHeight="14.25"/>
  <cols>
    <col width="18" customWidth="1" min="1" max="1"/>
    <col width="16" customWidth="1" min="2" max="3"/>
    <col width="18" customWidth="1" min="4" max="4"/>
    <col width="24" customWidth="1" min="5" max="5"/>
    <col width="30" customWidth="1" min="6" max="6"/>
    <col width="24" customWidth="1" min="7" max="7"/>
    <col width="18" customWidth="1" min="8" max="9"/>
    <col width="18" customWidth="1" min="10" max="10"/>
    <col width="18" customWidth="1" min="11" max="11"/>
    <col width="18" customWidth="1" min="12" max="12"/>
    <col width="18" customWidth="1" min="13" max="13"/>
    <col width="18" customWidth="1" min="14" max="14"/>
  </cols>
  <sheetData>
    <row r="1" ht="15.75" customHeight="1">
      <c r="A1" s="12" t="inlineStr">
        <is>
          <t>Demographics Entry</t>
        </is>
      </c>
    </row>
    <row r="2">
      <c r="A2" s="13" t="inlineStr">
        <is>
          <t>One row per patient. Use this sheet first, then reuse the same unique patient code across the other tabs. No direct personal identifiers are captured.</t>
        </is>
      </c>
    </row>
    <row r="4" ht="30" customHeight="1">
      <c r="A4" s="2" t="inlineStr">
        <is>
          <t>Unique Patient Code *</t>
        </is>
      </c>
      <c r="B4" s="2" t="inlineStr">
        <is>
          <t>Registry Enrolment Date</t>
        </is>
      </c>
      <c r="C4" s="2" t="inlineStr">
        <is>
          <t>Age at Diagnosis (years) *</t>
        </is>
      </c>
      <c r="D4" s="2" t="inlineStr">
        <is>
          <t>Language Preference</t>
        </is>
      </c>
      <c r="E4" s="2" t="inlineStr">
        <is>
          <t>Healthcare Coverage *</t>
        </is>
      </c>
      <c r="F4" s="2" t="inlineStr">
        <is>
          <t>Referring Hospital / Centre</t>
        </is>
      </c>
      <c r="G4" s="2" t="inlineStr">
        <is>
          <t>Referral Source</t>
        </is>
      </c>
      <c r="H4" s="2" t="inlineStr">
        <is>
          <t>State</t>
        </is>
      </c>
      <c r="I4" s="2" t="inlineStr">
        <is>
          <t>Travel Distance to Centre (km)</t>
        </is>
      </c>
      <c r="J4" s="34" t="inlineStr">
        <is>
          <t>Religion</t>
        </is>
      </c>
      <c r="K4" s="34" t="inlineStr">
        <is>
          <t>Marital Status</t>
        </is>
      </c>
      <c r="L4" s="34" t="inlineStr">
        <is>
          <t>Education</t>
        </is>
      </c>
      <c r="M4" s="34" t="inlineStr">
        <is>
          <t>Occupation</t>
        </is>
      </c>
      <c r="N4" s="34" t="inlineStr">
        <is>
          <t>Tobacco Use</t>
        </is>
      </c>
    </row>
    <row r="5">
      <c r="A5" s="14" t="inlineStr">
        <is>
          <t>PCR-001</t>
        </is>
      </c>
      <c r="B5" s="9" t="n">
        <v>46034</v>
      </c>
      <c r="C5" s="3" t="n">
        <v>68</v>
      </c>
      <c r="D5" s="14" t="inlineStr">
        <is>
          <t>Hindi</t>
        </is>
      </c>
      <c r="E5" s="14" t="inlineStr">
        <is>
          <t>CGHS</t>
        </is>
      </c>
      <c r="F5" s="14" t="inlineStr">
        <is>
          <t>AIIMS New Delhi</t>
        </is>
      </c>
      <c r="G5" s="14" t="inlineStr">
        <is>
          <t>Government Hospital / OPD</t>
        </is>
      </c>
      <c r="H5" s="14" t="inlineStr">
        <is>
          <t>Delhi</t>
        </is>
      </c>
      <c r="I5" s="4" t="n">
        <v>24</v>
      </c>
    </row>
    <row r="6">
      <c r="A6" s="14" t="inlineStr">
        <is>
          <t>PCR-002</t>
        </is>
      </c>
      <c r="B6" s="9" t="n">
        <v>45918</v>
      </c>
      <c r="C6" s="3" t="n">
        <v>72</v>
      </c>
      <c r="D6" s="14" t="inlineStr">
        <is>
          <t>English</t>
        </is>
      </c>
      <c r="E6" s="14" t="inlineStr">
        <is>
          <t>Private Insurance</t>
        </is>
      </c>
      <c r="F6" s="14" t="inlineStr">
        <is>
          <t>Tata Memorial Centre, Mumbai</t>
        </is>
      </c>
      <c r="G6" s="14" t="inlineStr">
        <is>
          <t>Private Urologist</t>
        </is>
      </c>
      <c r="H6" s="14" t="inlineStr">
        <is>
          <t>Maharashtra</t>
        </is>
      </c>
      <c r="I6" s="4" t="n">
        <v>180</v>
      </c>
    </row>
    <row r="7">
      <c r="A7" s="14" t="inlineStr">
        <is>
          <t>PCR-003</t>
        </is>
      </c>
      <c r="B7" s="9" t="n">
        <v>45936</v>
      </c>
      <c r="C7" s="3" t="n">
        <v>64</v>
      </c>
      <c r="D7" s="14" t="inlineStr">
        <is>
          <t>Tamil</t>
        </is>
      </c>
      <c r="E7" s="14" t="inlineStr">
        <is>
          <t>PMJAY (Ayushman Bharat)</t>
        </is>
      </c>
      <c r="F7" s="14" t="inlineStr">
        <is>
          <t>CMC Vellore</t>
        </is>
      </c>
      <c r="G7" s="14" t="inlineStr">
        <is>
          <t>Government Hospital / OPD</t>
        </is>
      </c>
      <c r="H7" s="14" t="inlineStr">
        <is>
          <t>Tamil Nadu</t>
        </is>
      </c>
      <c r="I7" s="4" t="n">
        <v>96</v>
      </c>
    </row>
    <row r="8">
      <c r="A8" s="14" t="inlineStr">
        <is>
          <t>PCR-004</t>
        </is>
      </c>
      <c r="B8" s="9" t="n">
        <v>45641</v>
      </c>
      <c r="C8" s="3" t="n">
        <v>70</v>
      </c>
      <c r="D8" s="14" t="inlineStr">
        <is>
          <t>Hindi</t>
        </is>
      </c>
      <c r="E8" s="14" t="inlineStr">
        <is>
          <t>Self-pay</t>
        </is>
      </c>
      <c r="F8" s="14" t="inlineStr">
        <is>
          <t>SGPGI Lucknow</t>
        </is>
      </c>
      <c r="G8" s="14" t="inlineStr">
        <is>
          <t>District Cancer Centre</t>
        </is>
      </c>
      <c r="H8" s="14" t="inlineStr">
        <is>
          <t>Uttar Pradesh</t>
        </is>
      </c>
      <c r="I8" s="4" t="n">
        <v>320</v>
      </c>
    </row>
    <row r="9">
      <c r="A9" s="14" t="n"/>
      <c r="B9" s="9" t="n"/>
      <c r="C9" s="3" t="n"/>
      <c r="D9" s="14" t="n"/>
      <c r="E9" s="14" t="n"/>
      <c r="F9" s="14" t="n"/>
      <c r="G9" s="14" t="n"/>
      <c r="H9" s="14" t="n"/>
      <c r="I9" s="4" t="n"/>
    </row>
    <row r="10">
      <c r="A10" s="14" t="n"/>
      <c r="B10" s="9" t="n"/>
      <c r="C10" s="3" t="n"/>
      <c r="D10" s="14" t="n"/>
      <c r="E10" s="14" t="n"/>
      <c r="F10" s="14" t="n"/>
      <c r="G10" s="14" t="n"/>
      <c r="H10" s="14" t="n"/>
      <c r="I10" s="4" t="n"/>
    </row>
    <row r="11">
      <c r="A11" s="14" t="n"/>
      <c r="B11" s="9" t="n"/>
      <c r="C11" s="3" t="n"/>
      <c r="D11" s="14" t="n"/>
      <c r="E11" s="14" t="n"/>
      <c r="F11" s="14" t="n"/>
      <c r="G11" s="14" t="n"/>
      <c r="H11" s="14" t="n"/>
      <c r="I11" s="4" t="n"/>
    </row>
    <row r="12">
      <c r="A12" s="14" t="n"/>
      <c r="B12" s="9" t="n"/>
      <c r="C12" s="3" t="n"/>
      <c r="D12" s="14" t="n"/>
      <c r="E12" s="14" t="n"/>
      <c r="F12" s="14" t="n"/>
      <c r="G12" s="14" t="n"/>
      <c r="H12" s="14" t="n"/>
      <c r="I12" s="4" t="n"/>
    </row>
    <row r="13">
      <c r="A13" s="14" t="n"/>
      <c r="B13" s="9" t="n"/>
      <c r="C13" s="3" t="n"/>
      <c r="D13" s="14" t="n"/>
      <c r="E13" s="14" t="n"/>
      <c r="F13" s="14" t="n"/>
      <c r="G13" s="14" t="n"/>
      <c r="H13" s="14" t="n"/>
      <c r="I13" s="4" t="n"/>
    </row>
    <row r="14">
      <c r="A14" s="14" t="n"/>
      <c r="B14" s="9" t="n"/>
      <c r="C14" s="3" t="n"/>
      <c r="D14" s="14" t="n"/>
      <c r="E14" s="14" t="n"/>
      <c r="F14" s="14" t="n"/>
      <c r="G14" s="14" t="n"/>
      <c r="H14" s="14" t="n"/>
      <c r="I14" s="4" t="n"/>
    </row>
    <row r="15">
      <c r="A15" s="14" t="n"/>
      <c r="B15" s="9" t="n"/>
      <c r="C15" s="3" t="n"/>
      <c r="D15" s="14" t="n"/>
      <c r="E15" s="14" t="n"/>
      <c r="F15" s="14" t="n"/>
      <c r="G15" s="14" t="n"/>
      <c r="H15" s="14" t="n"/>
      <c r="I15" s="4" t="n"/>
    </row>
    <row r="16">
      <c r="A16" s="14" t="n"/>
      <c r="B16" s="9" t="n"/>
      <c r="C16" s="3" t="n"/>
      <c r="D16" s="14" t="n"/>
      <c r="E16" s="14" t="n"/>
      <c r="F16" s="14" t="n"/>
      <c r="G16" s="14" t="n"/>
      <c r="H16" s="14" t="n"/>
      <c r="I16" s="4" t="n"/>
    </row>
    <row r="17">
      <c r="A17" s="14" t="n"/>
      <c r="B17" s="9" t="n"/>
      <c r="C17" s="3" t="n"/>
      <c r="D17" s="14" t="n"/>
      <c r="E17" s="14" t="n"/>
      <c r="F17" s="14" t="n"/>
      <c r="G17" s="14" t="n"/>
      <c r="H17" s="14" t="n"/>
      <c r="I17" s="4" t="n"/>
    </row>
    <row r="18">
      <c r="A18" s="14" t="n"/>
      <c r="B18" s="9" t="n"/>
      <c r="C18" s="3" t="n"/>
      <c r="D18" s="14" t="n"/>
      <c r="E18" s="14" t="n"/>
      <c r="F18" s="14" t="n"/>
      <c r="G18" s="14" t="n"/>
      <c r="H18" s="14" t="n"/>
      <c r="I18" s="4" t="n"/>
    </row>
    <row r="19">
      <c r="A19" s="14" t="n"/>
      <c r="B19" s="9" t="n"/>
      <c r="C19" s="3" t="n"/>
      <c r="D19" s="14" t="n"/>
      <c r="E19" s="14" t="n"/>
      <c r="F19" s="14" t="n"/>
      <c r="G19" s="14" t="n"/>
      <c r="H19" s="14" t="n"/>
      <c r="I19" s="4" t="n"/>
    </row>
    <row r="20">
      <c r="A20" s="14" t="n"/>
      <c r="B20" s="9" t="n"/>
      <c r="C20" s="3" t="n"/>
      <c r="D20" s="14" t="n"/>
      <c r="E20" s="14" t="n"/>
      <c r="F20" s="14" t="n"/>
      <c r="G20" s="14" t="n"/>
      <c r="H20" s="14" t="n"/>
      <c r="I20" s="4" t="n"/>
    </row>
    <row r="21">
      <c r="A21" s="14" t="n"/>
      <c r="B21" s="9" t="n"/>
      <c r="C21" s="3" t="n"/>
      <c r="D21" s="14" t="n"/>
      <c r="E21" s="14" t="n"/>
      <c r="F21" s="14" t="n"/>
      <c r="G21" s="14" t="n"/>
      <c r="H21" s="14" t="n"/>
      <c r="I21" s="4" t="n"/>
    </row>
    <row r="22">
      <c r="A22" s="14" t="n"/>
      <c r="B22" s="9" t="n"/>
      <c r="C22" s="3" t="n"/>
      <c r="D22" s="14" t="n"/>
      <c r="E22" s="14" t="n"/>
      <c r="F22" s="14" t="n"/>
      <c r="G22" s="14" t="n"/>
      <c r="H22" s="14" t="n"/>
      <c r="I22" s="4" t="n"/>
    </row>
    <row r="23">
      <c r="A23" s="14" t="n"/>
      <c r="B23" s="9" t="n"/>
      <c r="C23" s="3" t="n"/>
      <c r="D23" s="14" t="n"/>
      <c r="E23" s="14" t="n"/>
      <c r="F23" s="14" t="n"/>
      <c r="G23" s="14" t="n"/>
      <c r="H23" s="14" t="n"/>
      <c r="I23" s="4" t="n"/>
    </row>
    <row r="24">
      <c r="A24" s="14" t="n"/>
      <c r="B24" s="9" t="n"/>
      <c r="C24" s="3" t="n"/>
      <c r="D24" s="14" t="n"/>
      <c r="E24" s="14" t="n"/>
      <c r="F24" s="14" t="n"/>
      <c r="G24" s="14" t="n"/>
      <c r="H24" s="14" t="n"/>
      <c r="I24" s="4" t="n"/>
    </row>
    <row r="25">
      <c r="A25" s="14" t="n"/>
      <c r="B25" s="9" t="n"/>
      <c r="C25" s="3" t="n"/>
      <c r="D25" s="14" t="n"/>
      <c r="E25" s="14" t="n"/>
      <c r="F25" s="14" t="n"/>
      <c r="G25" s="14" t="n"/>
      <c r="H25" s="14" t="n"/>
      <c r="I25" s="4" t="n"/>
    </row>
    <row r="26">
      <c r="A26" s="14" t="n"/>
      <c r="B26" s="9" t="n"/>
      <c r="C26" s="3" t="n"/>
      <c r="D26" s="14" t="n"/>
      <c r="E26" s="14" t="n"/>
      <c r="F26" s="14" t="n"/>
      <c r="G26" s="14" t="n"/>
      <c r="H26" s="14" t="n"/>
      <c r="I26" s="4" t="n"/>
    </row>
    <row r="27">
      <c r="A27" s="14" t="n"/>
      <c r="B27" s="9" t="n"/>
      <c r="C27" s="3" t="n"/>
      <c r="D27" s="14" t="n"/>
      <c r="E27" s="14" t="n"/>
      <c r="F27" s="14" t="n"/>
      <c r="G27" s="14" t="n"/>
      <c r="H27" s="14" t="n"/>
      <c r="I27" s="4" t="n"/>
    </row>
    <row r="28">
      <c r="A28" s="14" t="n"/>
      <c r="B28" s="9" t="n"/>
      <c r="C28" s="3" t="n"/>
      <c r="D28" s="14" t="n"/>
      <c r="E28" s="14" t="n"/>
      <c r="F28" s="14" t="n"/>
      <c r="G28" s="14" t="n"/>
      <c r="H28" s="14" t="n"/>
      <c r="I28" s="4" t="n"/>
    </row>
    <row r="29">
      <c r="A29" s="14" t="n"/>
      <c r="B29" s="9" t="n"/>
      <c r="C29" s="3" t="n"/>
      <c r="D29" s="14" t="n"/>
      <c r="E29" s="14" t="n"/>
      <c r="F29" s="14" t="n"/>
      <c r="G29" s="14" t="n"/>
      <c r="H29" s="14" t="n"/>
      <c r="I29" s="4" t="n"/>
    </row>
    <row r="30">
      <c r="A30" s="14" t="n"/>
      <c r="B30" s="9" t="n"/>
      <c r="C30" s="3" t="n"/>
      <c r="D30" s="14" t="n"/>
      <c r="E30" s="14" t="n"/>
      <c r="F30" s="14" t="n"/>
      <c r="G30" s="14" t="n"/>
      <c r="H30" s="14" t="n"/>
      <c r="I30" s="4" t="n"/>
    </row>
    <row r="31">
      <c r="A31" s="14" t="n"/>
      <c r="B31" s="9" t="n"/>
      <c r="C31" s="3" t="n"/>
      <c r="D31" s="14" t="n"/>
      <c r="E31" s="14" t="n"/>
      <c r="F31" s="14" t="n"/>
      <c r="G31" s="14" t="n"/>
      <c r="H31" s="14" t="n"/>
      <c r="I31" s="4" t="n"/>
    </row>
    <row r="32">
      <c r="A32" s="14" t="n"/>
      <c r="B32" s="9" t="n"/>
      <c r="C32" s="3" t="n"/>
      <c r="D32" s="14" t="n"/>
      <c r="E32" s="14" t="n"/>
      <c r="F32" s="14" t="n"/>
      <c r="G32" s="14" t="n"/>
      <c r="H32" s="14" t="n"/>
      <c r="I32" s="4" t="n"/>
    </row>
    <row r="33">
      <c r="A33" s="14" t="n"/>
      <c r="B33" s="9" t="n"/>
      <c r="C33" s="3" t="n"/>
      <c r="D33" s="14" t="n"/>
      <c r="E33" s="14" t="n"/>
      <c r="F33" s="14" t="n"/>
      <c r="G33" s="14" t="n"/>
      <c r="H33" s="14" t="n"/>
      <c r="I33" s="4" t="n"/>
    </row>
    <row r="34">
      <c r="A34" s="14" t="n"/>
      <c r="B34" s="9" t="n"/>
      <c r="C34" s="3" t="n"/>
      <c r="D34" s="14" t="n"/>
      <c r="E34" s="14" t="n"/>
      <c r="F34" s="14" t="n"/>
      <c r="G34" s="14" t="n"/>
      <c r="H34" s="14" t="n"/>
      <c r="I34" s="4" t="n"/>
    </row>
    <row r="35">
      <c r="A35" s="14" t="n"/>
      <c r="B35" s="9" t="n"/>
      <c r="C35" s="3" t="n"/>
      <c r="D35" s="14" t="n"/>
      <c r="E35" s="14" t="n"/>
      <c r="F35" s="14" t="n"/>
      <c r="G35" s="14" t="n"/>
      <c r="H35" s="14" t="n"/>
      <c r="I35" s="4" t="n"/>
    </row>
    <row r="36">
      <c r="A36" s="14" t="n"/>
      <c r="B36" s="9" t="n"/>
      <c r="C36" s="3" t="n"/>
      <c r="D36" s="14" t="n"/>
      <c r="E36" s="14" t="n"/>
      <c r="F36" s="14" t="n"/>
      <c r="G36" s="14" t="n"/>
      <c r="H36" s="14" t="n"/>
      <c r="I36" s="4" t="n"/>
    </row>
    <row r="37">
      <c r="A37" s="14" t="n"/>
      <c r="B37" s="9" t="n"/>
      <c r="C37" s="3" t="n"/>
      <c r="D37" s="14" t="n"/>
      <c r="E37" s="14" t="n"/>
      <c r="F37" s="14" t="n"/>
      <c r="G37" s="14" t="n"/>
      <c r="H37" s="14" t="n"/>
      <c r="I37" s="4" t="n"/>
    </row>
    <row r="38">
      <c r="A38" s="14" t="n"/>
      <c r="B38" s="9" t="n"/>
      <c r="C38" s="3" t="n"/>
      <c r="D38" s="14" t="n"/>
      <c r="E38" s="14" t="n"/>
      <c r="F38" s="14" t="n"/>
      <c r="G38" s="14" t="n"/>
      <c r="H38" s="14" t="n"/>
      <c r="I38" s="4" t="n"/>
    </row>
    <row r="39">
      <c r="A39" s="14" t="n"/>
      <c r="B39" s="9" t="n"/>
      <c r="C39" s="3" t="n"/>
      <c r="D39" s="14" t="n"/>
      <c r="E39" s="14" t="n"/>
      <c r="F39" s="14" t="n"/>
      <c r="G39" s="14" t="n"/>
      <c r="H39" s="14" t="n"/>
      <c r="I39" s="4" t="n"/>
    </row>
    <row r="40">
      <c r="A40" s="14" t="n"/>
      <c r="B40" s="9" t="n"/>
      <c r="C40" s="3" t="n"/>
      <c r="D40" s="14" t="n"/>
      <c r="E40" s="14" t="n"/>
      <c r="F40" s="14" t="n"/>
      <c r="G40" s="14" t="n"/>
      <c r="H40" s="14" t="n"/>
      <c r="I40" s="4" t="n"/>
    </row>
    <row r="41">
      <c r="A41" s="14" t="n"/>
      <c r="B41" s="9" t="n"/>
      <c r="C41" s="3" t="n"/>
      <c r="D41" s="14" t="n"/>
      <c r="E41" s="14" t="n"/>
      <c r="F41" s="14" t="n"/>
      <c r="G41" s="14" t="n"/>
      <c r="H41" s="14" t="n"/>
      <c r="I41" s="4" t="n"/>
    </row>
    <row r="42">
      <c r="A42" s="14" t="n"/>
      <c r="B42" s="9" t="n"/>
      <c r="C42" s="3" t="n"/>
      <c r="D42" s="14" t="n"/>
      <c r="E42" s="14" t="n"/>
      <c r="F42" s="14" t="n"/>
      <c r="G42" s="14" t="n"/>
      <c r="H42" s="14" t="n"/>
      <c r="I42" s="4" t="n"/>
    </row>
    <row r="43">
      <c r="A43" s="14" t="n"/>
      <c r="B43" s="9" t="n"/>
      <c r="C43" s="3" t="n"/>
      <c r="D43" s="14" t="n"/>
      <c r="E43" s="14" t="n"/>
      <c r="F43" s="14" t="n"/>
      <c r="G43" s="14" t="n"/>
      <c r="H43" s="14" t="n"/>
      <c r="I43" s="4" t="n"/>
    </row>
    <row r="44">
      <c r="A44" s="14" t="n"/>
      <c r="B44" s="9" t="n"/>
      <c r="C44" s="3" t="n"/>
      <c r="D44" s="14" t="n"/>
      <c r="E44" s="14" t="n"/>
      <c r="F44" s="14" t="n"/>
      <c r="G44" s="14" t="n"/>
      <c r="H44" s="14" t="n"/>
      <c r="I44" s="4" t="n"/>
    </row>
    <row r="45">
      <c r="A45" s="14" t="n"/>
      <c r="B45" s="9" t="n"/>
      <c r="C45" s="3" t="n"/>
      <c r="D45" s="14" t="n"/>
      <c r="E45" s="14" t="n"/>
      <c r="F45" s="14" t="n"/>
      <c r="G45" s="14" t="n"/>
      <c r="H45" s="14" t="n"/>
      <c r="I45" s="4" t="n"/>
    </row>
    <row r="46">
      <c r="A46" s="14" t="n"/>
      <c r="B46" s="9" t="n"/>
      <c r="C46" s="3" t="n"/>
      <c r="D46" s="14" t="n"/>
      <c r="E46" s="14" t="n"/>
      <c r="F46" s="14" t="n"/>
      <c r="G46" s="14" t="n"/>
      <c r="H46" s="14" t="n"/>
      <c r="I46" s="4" t="n"/>
    </row>
    <row r="47">
      <c r="A47" s="14" t="n"/>
      <c r="B47" s="9" t="n"/>
      <c r="C47" s="3" t="n"/>
      <c r="D47" s="14" t="n"/>
      <c r="E47" s="14" t="n"/>
      <c r="F47" s="14" t="n"/>
      <c r="G47" s="14" t="n"/>
      <c r="H47" s="14" t="n"/>
      <c r="I47" s="4" t="n"/>
    </row>
    <row r="48">
      <c r="A48" s="14" t="n"/>
      <c r="B48" s="9" t="n"/>
      <c r="C48" s="3" t="n"/>
      <c r="D48" s="14" t="n"/>
      <c r="E48" s="14" t="n"/>
      <c r="F48" s="14" t="n"/>
      <c r="G48" s="14" t="n"/>
      <c r="H48" s="14" t="n"/>
      <c r="I48" s="4" t="n"/>
    </row>
    <row r="49">
      <c r="A49" s="14" t="n"/>
      <c r="B49" s="9" t="n"/>
      <c r="C49" s="3" t="n"/>
      <c r="D49" s="14" t="n"/>
      <c r="E49" s="14" t="n"/>
      <c r="F49" s="14" t="n"/>
      <c r="G49" s="14" t="n"/>
      <c r="H49" s="14" t="n"/>
      <c r="I49" s="4" t="n"/>
    </row>
    <row r="50">
      <c r="A50" s="14" t="n"/>
      <c r="B50" s="9" t="n"/>
      <c r="C50" s="3" t="n"/>
      <c r="D50" s="14" t="n"/>
      <c r="E50" s="14" t="n"/>
      <c r="F50" s="14" t="n"/>
      <c r="G50" s="14" t="n"/>
      <c r="H50" s="14" t="n"/>
      <c r="I50" s="4" t="n"/>
    </row>
    <row r="51">
      <c r="A51" s="14" t="n"/>
      <c r="B51" s="9" t="n"/>
      <c r="C51" s="3" t="n"/>
      <c r="D51" s="14" t="n"/>
      <c r="E51" s="14" t="n"/>
      <c r="F51" s="14" t="n"/>
      <c r="G51" s="14" t="n"/>
      <c r="H51" s="14" t="n"/>
      <c r="I51" s="4" t="n"/>
    </row>
    <row r="52">
      <c r="A52" s="14" t="n"/>
      <c r="B52" s="9" t="n"/>
      <c r="C52" s="3" t="n"/>
      <c r="D52" s="14" t="n"/>
      <c r="E52" s="14" t="n"/>
      <c r="F52" s="14" t="n"/>
      <c r="G52" s="14" t="n"/>
      <c r="H52" s="14" t="n"/>
      <c r="I52" s="4" t="n"/>
    </row>
    <row r="53">
      <c r="A53" s="14" t="n"/>
      <c r="B53" s="9" t="n"/>
      <c r="C53" s="3" t="n"/>
      <c r="D53" s="14" t="n"/>
      <c r="E53" s="14" t="n"/>
      <c r="F53" s="14" t="n"/>
      <c r="G53" s="14" t="n"/>
      <c r="H53" s="14" t="n"/>
      <c r="I53" s="4" t="n"/>
    </row>
    <row r="54">
      <c r="A54" s="14" t="n"/>
      <c r="B54" s="9" t="n"/>
      <c r="C54" s="3" t="n"/>
      <c r="D54" s="14" t="n"/>
      <c r="E54" s="14" t="n"/>
      <c r="F54" s="14" t="n"/>
      <c r="G54" s="14" t="n"/>
      <c r="H54" s="14" t="n"/>
      <c r="I54" s="4" t="n"/>
    </row>
    <row r="55">
      <c r="A55" s="14" t="n"/>
      <c r="B55" s="9" t="n"/>
      <c r="C55" s="3" t="n"/>
      <c r="D55" s="14" t="n"/>
      <c r="E55" s="14" t="n"/>
      <c r="F55" s="14" t="n"/>
      <c r="G55" s="14" t="n"/>
      <c r="H55" s="14" t="n"/>
      <c r="I55" s="4" t="n"/>
    </row>
    <row r="56">
      <c r="A56" s="14" t="n"/>
      <c r="B56" s="9" t="n"/>
      <c r="C56" s="3" t="n"/>
      <c r="D56" s="14" t="n"/>
      <c r="E56" s="14" t="n"/>
      <c r="F56" s="14" t="n"/>
      <c r="G56" s="14" t="n"/>
      <c r="H56" s="14" t="n"/>
      <c r="I56" s="4" t="n"/>
    </row>
    <row r="57">
      <c r="A57" s="14" t="n"/>
      <c r="B57" s="9" t="n"/>
      <c r="C57" s="3" t="n"/>
      <c r="D57" s="14" t="n"/>
      <c r="E57" s="14" t="n"/>
      <c r="F57" s="14" t="n"/>
      <c r="G57" s="14" t="n"/>
      <c r="H57" s="14" t="n"/>
      <c r="I57" s="4" t="n"/>
    </row>
    <row r="58">
      <c r="A58" s="14" t="n"/>
      <c r="B58" s="9" t="n"/>
      <c r="C58" s="3" t="n"/>
      <c r="D58" s="14" t="n"/>
      <c r="E58" s="14" t="n"/>
      <c r="F58" s="14" t="n"/>
      <c r="G58" s="14" t="n"/>
      <c r="H58" s="14" t="n"/>
      <c r="I58" s="4" t="n"/>
    </row>
    <row r="59">
      <c r="A59" s="14" t="n"/>
      <c r="B59" s="9" t="n"/>
      <c r="C59" s="3" t="n"/>
      <c r="D59" s="14" t="n"/>
      <c r="E59" s="14" t="n"/>
      <c r="F59" s="14" t="n"/>
      <c r="G59" s="14" t="n"/>
      <c r="H59" s="14" t="n"/>
      <c r="I59" s="4" t="n"/>
    </row>
    <row r="60">
      <c r="A60" s="14" t="n"/>
      <c r="B60" s="9" t="n"/>
      <c r="C60" s="3" t="n"/>
      <c r="D60" s="14" t="n"/>
      <c r="E60" s="14" t="n"/>
      <c r="F60" s="14" t="n"/>
      <c r="G60" s="14" t="n"/>
      <c r="H60" s="14" t="n"/>
      <c r="I60" s="4" t="n"/>
    </row>
    <row r="61">
      <c r="A61" s="14" t="n"/>
      <c r="B61" s="9" t="n"/>
      <c r="C61" s="3" t="n"/>
      <c r="D61" s="14" t="n"/>
      <c r="E61" s="14" t="n"/>
      <c r="F61" s="14" t="n"/>
      <c r="G61" s="14" t="n"/>
      <c r="H61" s="14" t="n"/>
      <c r="I61" s="4" t="n"/>
    </row>
    <row r="62">
      <c r="A62" s="14" t="n"/>
      <c r="B62" s="9" t="n"/>
      <c r="C62" s="3" t="n"/>
      <c r="D62" s="14" t="n"/>
      <c r="E62" s="14" t="n"/>
      <c r="F62" s="14" t="n"/>
      <c r="G62" s="14" t="n"/>
      <c r="H62" s="14" t="n"/>
      <c r="I62" s="4" t="n"/>
    </row>
    <row r="63">
      <c r="A63" s="14" t="n"/>
      <c r="B63" s="9" t="n"/>
      <c r="C63" s="3" t="n"/>
      <c r="D63" s="14" t="n"/>
      <c r="E63" s="14" t="n"/>
      <c r="F63" s="14" t="n"/>
      <c r="G63" s="14" t="n"/>
      <c r="H63" s="14" t="n"/>
      <c r="I63" s="4" t="n"/>
    </row>
    <row r="64">
      <c r="A64" s="14" t="n"/>
      <c r="B64" s="9" t="n"/>
      <c r="C64" s="3" t="n"/>
      <c r="D64" s="14" t="n"/>
      <c r="E64" s="14" t="n"/>
      <c r="F64" s="14" t="n"/>
      <c r="G64" s="14" t="n"/>
      <c r="H64" s="14" t="n"/>
      <c r="I64" s="4" t="n"/>
    </row>
    <row r="65">
      <c r="A65" s="14" t="n"/>
      <c r="B65" s="9" t="n"/>
      <c r="C65" s="3" t="n"/>
      <c r="D65" s="14" t="n"/>
      <c r="E65" s="14" t="n"/>
      <c r="F65" s="14" t="n"/>
      <c r="G65" s="14" t="n"/>
      <c r="H65" s="14" t="n"/>
      <c r="I65" s="4" t="n"/>
    </row>
    <row r="66">
      <c r="A66" s="14" t="n"/>
      <c r="B66" s="9" t="n"/>
      <c r="C66" s="3" t="n"/>
      <c r="D66" s="14" t="n"/>
      <c r="E66" s="14" t="n"/>
      <c r="F66" s="14" t="n"/>
      <c r="G66" s="14" t="n"/>
      <c r="H66" s="14" t="n"/>
      <c r="I66" s="4" t="n"/>
    </row>
    <row r="67">
      <c r="A67" s="14" t="n"/>
      <c r="B67" s="9" t="n"/>
      <c r="C67" s="3" t="n"/>
      <c r="D67" s="14" t="n"/>
      <c r="E67" s="14" t="n"/>
      <c r="F67" s="14" t="n"/>
      <c r="G67" s="14" t="n"/>
      <c r="H67" s="14" t="n"/>
      <c r="I67" s="4" t="n"/>
    </row>
    <row r="68">
      <c r="A68" s="14" t="n"/>
      <c r="B68" s="9" t="n"/>
      <c r="C68" s="3" t="n"/>
      <c r="D68" s="14" t="n"/>
      <c r="E68" s="14" t="n"/>
      <c r="F68" s="14" t="n"/>
      <c r="G68" s="14" t="n"/>
      <c r="H68" s="14" t="n"/>
      <c r="I68" s="4" t="n"/>
    </row>
    <row r="69">
      <c r="A69" s="14" t="n"/>
      <c r="B69" s="9" t="n"/>
      <c r="C69" s="3" t="n"/>
      <c r="D69" s="14" t="n"/>
      <c r="E69" s="14" t="n"/>
      <c r="F69" s="14" t="n"/>
      <c r="G69" s="14" t="n"/>
      <c r="H69" s="14" t="n"/>
      <c r="I69" s="4" t="n"/>
    </row>
    <row r="70">
      <c r="A70" s="14" t="n"/>
      <c r="B70" s="9" t="n"/>
      <c r="C70" s="3" t="n"/>
      <c r="D70" s="14" t="n"/>
      <c r="E70" s="14" t="n"/>
      <c r="F70" s="14" t="n"/>
      <c r="G70" s="14" t="n"/>
      <c r="H70" s="14" t="n"/>
      <c r="I70" s="4" t="n"/>
    </row>
    <row r="71">
      <c r="A71" s="14" t="n"/>
      <c r="B71" s="9" t="n"/>
      <c r="C71" s="3" t="n"/>
      <c r="D71" s="14" t="n"/>
      <c r="E71" s="14" t="n"/>
      <c r="F71" s="14" t="n"/>
      <c r="G71" s="14" t="n"/>
      <c r="H71" s="14" t="n"/>
      <c r="I71" s="4" t="n"/>
    </row>
    <row r="72">
      <c r="A72" s="14" t="n"/>
      <c r="B72" s="9" t="n"/>
      <c r="C72" s="3" t="n"/>
      <c r="D72" s="14" t="n"/>
      <c r="E72" s="14" t="n"/>
      <c r="F72" s="14" t="n"/>
      <c r="G72" s="14" t="n"/>
      <c r="H72" s="14" t="n"/>
      <c r="I72" s="4" t="n"/>
    </row>
    <row r="73">
      <c r="A73" s="14" t="n"/>
      <c r="B73" s="9" t="n"/>
      <c r="C73" s="3" t="n"/>
      <c r="D73" s="14" t="n"/>
      <c r="E73" s="14" t="n"/>
      <c r="F73" s="14" t="n"/>
      <c r="G73" s="14" t="n"/>
      <c r="H73" s="14" t="n"/>
      <c r="I73" s="4" t="n"/>
    </row>
    <row r="74">
      <c r="A74" s="14" t="n"/>
      <c r="B74" s="9" t="n"/>
      <c r="C74" s="3" t="n"/>
      <c r="D74" s="14" t="n"/>
      <c r="E74" s="14" t="n"/>
      <c r="F74" s="14" t="n"/>
      <c r="G74" s="14" t="n"/>
      <c r="H74" s="14" t="n"/>
      <c r="I74" s="4" t="n"/>
    </row>
    <row r="75">
      <c r="A75" s="14" t="n"/>
      <c r="B75" s="9" t="n"/>
      <c r="C75" s="3" t="n"/>
      <c r="D75" s="14" t="n"/>
      <c r="E75" s="14" t="n"/>
      <c r="F75" s="14" t="n"/>
      <c r="G75" s="14" t="n"/>
      <c r="H75" s="14" t="n"/>
      <c r="I75" s="4" t="n"/>
    </row>
    <row r="76">
      <c r="A76" s="14" t="n"/>
      <c r="B76" s="9" t="n"/>
      <c r="C76" s="3" t="n"/>
      <c r="D76" s="14" t="n"/>
      <c r="E76" s="14" t="n"/>
      <c r="F76" s="14" t="n"/>
      <c r="G76" s="14" t="n"/>
      <c r="H76" s="14" t="n"/>
      <c r="I76" s="4" t="n"/>
    </row>
    <row r="77">
      <c r="A77" s="14" t="n"/>
      <c r="B77" s="9" t="n"/>
      <c r="C77" s="3" t="n"/>
      <c r="D77" s="14" t="n"/>
      <c r="E77" s="14" t="n"/>
      <c r="F77" s="14" t="n"/>
      <c r="G77" s="14" t="n"/>
      <c r="H77" s="14" t="n"/>
      <c r="I77" s="4" t="n"/>
    </row>
    <row r="78">
      <c r="A78" s="14" t="n"/>
      <c r="B78" s="9" t="n"/>
      <c r="C78" s="3" t="n"/>
      <c r="D78" s="14" t="n"/>
      <c r="E78" s="14" t="n"/>
      <c r="F78" s="14" t="n"/>
      <c r="G78" s="14" t="n"/>
      <c r="H78" s="14" t="n"/>
      <c r="I78" s="4" t="n"/>
    </row>
    <row r="79">
      <c r="A79" s="14" t="n"/>
      <c r="B79" s="9" t="n"/>
      <c r="C79" s="3" t="n"/>
      <c r="D79" s="14" t="n"/>
      <c r="E79" s="14" t="n"/>
      <c r="F79" s="14" t="n"/>
      <c r="G79" s="14" t="n"/>
      <c r="H79" s="14" t="n"/>
      <c r="I79" s="4" t="n"/>
    </row>
    <row r="80">
      <c r="A80" s="14" t="n"/>
      <c r="B80" s="9" t="n"/>
      <c r="C80" s="3" t="n"/>
      <c r="D80" s="14" t="n"/>
      <c r="E80" s="14" t="n"/>
      <c r="F80" s="14" t="n"/>
      <c r="G80" s="14" t="n"/>
      <c r="H80" s="14" t="n"/>
      <c r="I80" s="4" t="n"/>
    </row>
    <row r="81">
      <c r="A81" s="14" t="n"/>
      <c r="B81" s="9" t="n"/>
      <c r="C81" s="3" t="n"/>
      <c r="D81" s="14" t="n"/>
      <c r="E81" s="14" t="n"/>
      <c r="F81" s="14" t="n"/>
      <c r="G81" s="14" t="n"/>
      <c r="H81" s="14" t="n"/>
      <c r="I81" s="4" t="n"/>
    </row>
    <row r="82">
      <c r="A82" s="14" t="n"/>
      <c r="B82" s="9" t="n"/>
      <c r="C82" s="3" t="n"/>
      <c r="D82" s="14" t="n"/>
      <c r="E82" s="14" t="n"/>
      <c r="F82" s="14" t="n"/>
      <c r="G82" s="14" t="n"/>
      <c r="H82" s="14" t="n"/>
      <c r="I82" s="4" t="n"/>
    </row>
    <row r="83">
      <c r="A83" s="14" t="n"/>
      <c r="B83" s="9" t="n"/>
      <c r="C83" s="3" t="n"/>
      <c r="D83" s="14" t="n"/>
      <c r="E83" s="14" t="n"/>
      <c r="F83" s="14" t="n"/>
      <c r="G83" s="14" t="n"/>
      <c r="H83" s="14" t="n"/>
      <c r="I83" s="4" t="n"/>
    </row>
    <row r="84">
      <c r="A84" s="14" t="n"/>
      <c r="B84" s="9" t="n"/>
      <c r="C84" s="3" t="n"/>
      <c r="D84" s="14" t="n"/>
      <c r="E84" s="14" t="n"/>
      <c r="F84" s="14" t="n"/>
      <c r="G84" s="14" t="n"/>
      <c r="H84" s="14" t="n"/>
      <c r="I84" s="4" t="n"/>
    </row>
    <row r="85">
      <c r="A85" s="14" t="n"/>
      <c r="B85" s="9" t="n"/>
      <c r="C85" s="3" t="n"/>
      <c r="D85" s="14" t="n"/>
      <c r="E85" s="14" t="n"/>
      <c r="F85" s="14" t="n"/>
      <c r="G85" s="14" t="n"/>
      <c r="H85" s="14" t="n"/>
      <c r="I85" s="4" t="n"/>
    </row>
    <row r="86">
      <c r="A86" s="14" t="n"/>
      <c r="B86" s="9" t="n"/>
      <c r="C86" s="3" t="n"/>
      <c r="D86" s="14" t="n"/>
      <c r="E86" s="14" t="n"/>
      <c r="F86" s="14" t="n"/>
      <c r="G86" s="14" t="n"/>
      <c r="H86" s="14" t="n"/>
      <c r="I86" s="4" t="n"/>
    </row>
    <row r="87">
      <c r="A87" s="14" t="n"/>
      <c r="B87" s="9" t="n"/>
      <c r="C87" s="3" t="n"/>
      <c r="D87" s="14" t="n"/>
      <c r="E87" s="14" t="n"/>
      <c r="F87" s="14" t="n"/>
      <c r="G87" s="14" t="n"/>
      <c r="H87" s="14" t="n"/>
      <c r="I87" s="4" t="n"/>
    </row>
    <row r="88">
      <c r="A88" s="14" t="n"/>
      <c r="B88" s="9" t="n"/>
      <c r="C88" s="3" t="n"/>
      <c r="D88" s="14" t="n"/>
      <c r="E88" s="14" t="n"/>
      <c r="F88" s="14" t="n"/>
      <c r="G88" s="14" t="n"/>
      <c r="H88" s="14" t="n"/>
      <c r="I88" s="4" t="n"/>
    </row>
    <row r="89">
      <c r="A89" s="14" t="n"/>
      <c r="B89" s="9" t="n"/>
      <c r="C89" s="3" t="n"/>
      <c r="D89" s="14" t="n"/>
      <c r="E89" s="14" t="n"/>
      <c r="F89" s="14" t="n"/>
      <c r="G89" s="14" t="n"/>
      <c r="H89" s="14" t="n"/>
      <c r="I89" s="4" t="n"/>
    </row>
    <row r="90">
      <c r="A90" s="14" t="n"/>
      <c r="B90" s="9" t="n"/>
      <c r="C90" s="3" t="n"/>
      <c r="D90" s="14" t="n"/>
      <c r="E90" s="14" t="n"/>
      <c r="F90" s="14" t="n"/>
      <c r="G90" s="14" t="n"/>
      <c r="H90" s="14" t="n"/>
      <c r="I90" s="4" t="n"/>
    </row>
    <row r="91">
      <c r="A91" s="14" t="n"/>
      <c r="B91" s="9" t="n"/>
      <c r="C91" s="3" t="n"/>
      <c r="D91" s="14" t="n"/>
      <c r="E91" s="14" t="n"/>
      <c r="F91" s="14" t="n"/>
      <c r="G91" s="14" t="n"/>
      <c r="H91" s="14" t="n"/>
      <c r="I91" s="4" t="n"/>
    </row>
    <row r="92">
      <c r="A92" s="14" t="n"/>
      <c r="B92" s="9" t="n"/>
      <c r="C92" s="3" t="n"/>
      <c r="D92" s="14" t="n"/>
      <c r="E92" s="14" t="n"/>
      <c r="F92" s="14" t="n"/>
      <c r="G92" s="14" t="n"/>
      <c r="H92" s="14" t="n"/>
      <c r="I92" s="4" t="n"/>
    </row>
    <row r="93">
      <c r="A93" s="14" t="n"/>
      <c r="B93" s="9" t="n"/>
      <c r="C93" s="3" t="n"/>
      <c r="D93" s="14" t="n"/>
      <c r="E93" s="14" t="n"/>
      <c r="F93" s="14" t="n"/>
      <c r="G93" s="14" t="n"/>
      <c r="H93" s="14" t="n"/>
      <c r="I93" s="4" t="n"/>
    </row>
    <row r="94">
      <c r="A94" s="14" t="n"/>
      <c r="B94" s="9" t="n"/>
      <c r="C94" s="3" t="n"/>
      <c r="D94" s="14" t="n"/>
      <c r="E94" s="14" t="n"/>
      <c r="F94" s="14" t="n"/>
      <c r="G94" s="14" t="n"/>
      <c r="H94" s="14" t="n"/>
      <c r="I94" s="4" t="n"/>
    </row>
    <row r="95">
      <c r="A95" s="14" t="n"/>
      <c r="B95" s="9" t="n"/>
      <c r="C95" s="3" t="n"/>
      <c r="D95" s="14" t="n"/>
      <c r="E95" s="14" t="n"/>
      <c r="F95" s="14" t="n"/>
      <c r="G95" s="14" t="n"/>
      <c r="H95" s="14" t="n"/>
      <c r="I95" s="4" t="n"/>
    </row>
    <row r="96">
      <c r="A96" s="14" t="n"/>
      <c r="B96" s="9" t="n"/>
      <c r="C96" s="3" t="n"/>
      <c r="D96" s="14" t="n"/>
      <c r="E96" s="14" t="n"/>
      <c r="F96" s="14" t="n"/>
      <c r="G96" s="14" t="n"/>
      <c r="H96" s="14" t="n"/>
      <c r="I96" s="4" t="n"/>
    </row>
    <row r="97">
      <c r="A97" s="14" t="n"/>
      <c r="B97" s="9" t="n"/>
      <c r="C97" s="3" t="n"/>
      <c r="D97" s="14" t="n"/>
      <c r="E97" s="14" t="n"/>
      <c r="F97" s="14" t="n"/>
      <c r="G97" s="14" t="n"/>
      <c r="H97" s="14" t="n"/>
      <c r="I97" s="4" t="n"/>
    </row>
    <row r="98">
      <c r="A98" s="14" t="n"/>
      <c r="B98" s="9" t="n"/>
      <c r="C98" s="3" t="n"/>
      <c r="D98" s="14" t="n"/>
      <c r="E98" s="14" t="n"/>
      <c r="F98" s="14" t="n"/>
      <c r="G98" s="14" t="n"/>
      <c r="H98" s="14" t="n"/>
      <c r="I98" s="4" t="n"/>
    </row>
    <row r="99">
      <c r="A99" s="14" t="n"/>
      <c r="B99" s="9" t="n"/>
      <c r="C99" s="3" t="n"/>
      <c r="D99" s="14" t="n"/>
      <c r="E99" s="14" t="n"/>
      <c r="F99" s="14" t="n"/>
      <c r="G99" s="14" t="n"/>
      <c r="H99" s="14" t="n"/>
      <c r="I99" s="4" t="n"/>
    </row>
    <row r="100">
      <c r="A100" s="14" t="n"/>
      <c r="B100" s="9" t="n"/>
      <c r="C100" s="3" t="n"/>
      <c r="D100" s="14" t="n"/>
      <c r="E100" s="14" t="n"/>
      <c r="F100" s="14" t="n"/>
      <c r="G100" s="14" t="n"/>
      <c r="H100" s="14" t="n"/>
      <c r="I100" s="4" t="n"/>
    </row>
    <row r="101">
      <c r="A101" s="14" t="n"/>
      <c r="B101" s="9" t="n"/>
      <c r="C101" s="3" t="n"/>
      <c r="D101" s="14" t="n"/>
      <c r="E101" s="14" t="n"/>
      <c r="F101" s="14" t="n"/>
      <c r="G101" s="14" t="n"/>
      <c r="H101" s="14" t="n"/>
      <c r="I101" s="4" t="n"/>
    </row>
    <row r="102">
      <c r="A102" s="14" t="n"/>
      <c r="B102" s="9" t="n"/>
      <c r="C102" s="3" t="n"/>
      <c r="D102" s="14" t="n"/>
      <c r="E102" s="14" t="n"/>
      <c r="F102" s="14" t="n"/>
      <c r="G102" s="14" t="n"/>
      <c r="H102" s="14" t="n"/>
      <c r="I102" s="4" t="n"/>
    </row>
    <row r="103">
      <c r="A103" s="14" t="n"/>
      <c r="B103" s="9" t="n"/>
      <c r="C103" s="3" t="n"/>
      <c r="D103" s="14" t="n"/>
      <c r="E103" s="14" t="n"/>
      <c r="F103" s="14" t="n"/>
      <c r="G103" s="14" t="n"/>
      <c r="H103" s="14" t="n"/>
      <c r="I103" s="4" t="n"/>
    </row>
    <row r="104">
      <c r="A104" s="14" t="n"/>
      <c r="B104" s="9" t="n"/>
      <c r="C104" s="3" t="n"/>
      <c r="D104" s="14" t="n"/>
      <c r="E104" s="14" t="n"/>
      <c r="F104" s="14" t="n"/>
      <c r="G104" s="14" t="n"/>
      <c r="H104" s="14" t="n"/>
      <c r="I104" s="4" t="n"/>
    </row>
  </sheetData>
  <mergeCells count="2">
    <mergeCell ref="A1:I1"/>
    <mergeCell ref="A2:I2"/>
  </mergeCells>
  <dataValidations count="8">
    <dataValidation sqref="B5:B104" showDropDown="0" showInputMessage="0" showErrorMessage="0" allowBlank="0" type="date">
      <formula1>DATE(1900,1,1)</formula1>
      <formula2>DATE(2100,12,31)</formula2>
    </dataValidation>
    <dataValidation sqref="C5:C104" showDropDown="0" showInputMessage="0" showErrorMessage="1" allowBlank="0" errorTitle="Invalid number" error="Enter a whole number between 18 and 120." type="whole">
      <formula1>18</formula1>
      <formula2>120</formula2>
    </dataValidation>
    <dataValidation sqref="D5:D104" showDropDown="0" showInputMessage="0" showErrorMessage="0" allowBlank="1" type="list">
      <formula1>"Hindi,English,Tamil,Telugu,Bengali,Marathi,Kannada,Malayalam,Gujarati,Punjabi,Odia"</formula1>
    </dataValidation>
    <dataValidation sqref="E5:E104" showDropDown="0" showInputMessage="0" showErrorMessage="0" allowBlank="1" type="list">
      <formula1>"PMJAY (Ayushman Bharat),CGHS,ESIC,State Scheme (Rajya Bima / Aarogyasri),Private Insurance,Self-pay"</formula1>
    </dataValidation>
    <dataValidation sqref="F5:F104" showDropDown="0" showInputMessage="0" showErrorMessage="0" allowBlank="1" type="list">
      <formula1>"AIIMS New Delhi,Tata Memorial Centre, Mumbai,CMC Vellore,PGIMER Chandigarh,RGCI Delhi,SGPGI Lucknow,Government General Hospital,Private Urologist / Clinic"</formula1>
    </dataValidation>
    <dataValidation sqref="G5:G104" showDropDown="0" showInputMessage="0" showErrorMessage="0" allowBlank="1" type="list">
      <formula1>"Government Hospital / OPD,Private Urologist,CGHS Panel Hospital,District Cancer Centre,Self-referral,Other"</formula1>
    </dataValidation>
    <dataValidation sqref="H5:H104" showDropDown="0" showInputMessage="0" showErrorMessage="0" allowBlank="1" type="list">
      <formula1>"Delhi,Maharashtra,Tamil Nadu,Uttar Pradesh,Karnataka,West Bengal,Rajasthan,Punjab,Gujarat,Telangana,Andhra Pradesh,Madhya Pradesh,Bihar,Other"</formula1>
    </dataValidation>
    <dataValidation sqref="I5:I104" showDropDown="0" showInputMessage="0" showErrorMessage="0" allowBlank="0" type="decimal">
      <formula1>0</formula1>
      <formula2>10000</formula2>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S104"/>
  <sheetViews>
    <sheetView showGridLines="0" zoomScale="80" zoomScaleNormal="80" workbookViewId="0">
      <selection activeCell="A1" sqref="A1:AR1"/>
    </sheetView>
  </sheetViews>
  <sheetFormatPr baseColWidth="8" defaultColWidth="8.875" defaultRowHeight="14.25"/>
  <cols>
    <col width="18" customWidth="1" min="1" max="1"/>
    <col width="16" customWidth="1" min="2" max="2"/>
    <col width="22" customWidth="1" min="3" max="3"/>
    <col width="16" customWidth="1" min="4" max="4"/>
    <col width="18" customWidth="1" min="5" max="5"/>
    <col width="22" customWidth="1" min="6" max="7"/>
    <col width="16" customWidth="1" min="8" max="8"/>
    <col width="14" customWidth="1" min="9" max="9"/>
    <col width="22" customWidth="1" min="10" max="10"/>
    <col width="18" customWidth="1" min="11" max="11"/>
    <col width="16" customWidth="1" min="12" max="12"/>
    <col width="18" customWidth="1" min="13" max="13"/>
    <col width="16" customWidth="1" min="14" max="15"/>
    <col width="18" customWidth="1" min="16" max="17"/>
    <col width="16" customWidth="1" min="18" max="18"/>
    <col width="14" customWidth="1" min="19" max="19"/>
    <col width="20" customWidth="1" min="20" max="22"/>
    <col width="18" customWidth="1" min="23" max="27"/>
    <col width="22" customWidth="1" min="28" max="28"/>
    <col width="24" customWidth="1" min="29" max="29"/>
    <col width="16" customWidth="1" min="30" max="38"/>
    <col width="18" customWidth="1" min="39" max="44"/>
    <col width="36" customWidth="1" min="45" max="45"/>
  </cols>
  <sheetData>
    <row r="1" ht="15.75" customHeight="1">
      <c r="A1" s="12" t="inlineStr">
        <is>
          <t>Clinical Entry</t>
        </is>
      </c>
    </row>
    <row r="2">
      <c r="A2" s="13" t="inlineStr">
        <is>
          <t>One row per patient. Multi-select chip groups are normalized into Yes / No columns so the clinical form remains Excel-friendly.</t>
        </is>
      </c>
    </row>
    <row r="4" ht="45" customHeight="1">
      <c r="A4" s="2" t="inlineStr">
        <is>
          <t>Unique Patient Code *</t>
        </is>
      </c>
      <c r="B4" s="2" t="inlineStr">
        <is>
          <t>Date of Diagnosis</t>
        </is>
      </c>
      <c r="C4" s="2" t="inlineStr">
        <is>
          <t>Primary Complaint</t>
        </is>
      </c>
      <c r="D4" s="2" t="inlineStr">
        <is>
          <t>Duration</t>
        </is>
      </c>
      <c r="E4" s="2" t="inlineStr">
        <is>
          <t>IPSS Score</t>
        </is>
      </c>
      <c r="F4" s="2" t="inlineStr">
        <is>
          <t>Bowel / Rectal Symptoms</t>
        </is>
      </c>
      <c r="G4" s="2" t="inlineStr">
        <is>
          <t>DRE Findings *</t>
        </is>
      </c>
      <c r="H4" s="2" t="inlineStr">
        <is>
          <t>Prostate Volume (TRUS / MRI cc)</t>
        </is>
      </c>
      <c r="I4" s="2" t="inlineStr">
        <is>
          <t>Biopsy Date</t>
        </is>
      </c>
      <c r="J4" s="2" t="inlineStr">
        <is>
          <t>Biopsy Type</t>
        </is>
      </c>
      <c r="K4" s="2" t="inlineStr">
        <is>
          <t>PI-RADS Score (mpMRI)</t>
        </is>
      </c>
      <c r="L4" s="2" t="inlineStr">
        <is>
          <t>Gleason Score</t>
        </is>
      </c>
      <c r="M4" s="2" t="inlineStr">
        <is>
          <t>ISUP Grade Group</t>
        </is>
      </c>
      <c r="N4" s="2" t="inlineStr">
        <is>
          <t>Cores Positive / Total</t>
        </is>
      </c>
      <c r="O4" s="2" t="inlineStr">
        <is>
          <t>% Core Involvement</t>
        </is>
      </c>
      <c r="P4" s="2" t="inlineStr">
        <is>
          <t>Perineural Invasion</t>
        </is>
      </c>
      <c r="Q4" s="2" t="inlineStr">
        <is>
          <t>ECE (Extracapsular Extension)</t>
        </is>
      </c>
      <c r="R4" s="2" t="inlineStr">
        <is>
          <t>Clinical T Stage *</t>
        </is>
      </c>
      <c r="S4" s="2" t="inlineStr">
        <is>
          <t>N Stage</t>
        </is>
      </c>
      <c r="T4" s="2" t="inlineStr">
        <is>
          <t>M Stage</t>
        </is>
      </c>
      <c r="U4" s="2" t="inlineStr">
        <is>
          <t>EAU Risk Category</t>
        </is>
      </c>
      <c r="V4" s="2" t="inlineStr">
        <is>
          <t>ECOG Performance Status</t>
        </is>
      </c>
      <c r="W4" s="2" t="inlineStr">
        <is>
          <t>Castration Status</t>
        </is>
      </c>
      <c r="X4" s="2" t="inlineStr">
        <is>
          <t>mpMRI Pelvis</t>
        </is>
      </c>
      <c r="Y4" s="2" t="inlineStr">
        <is>
          <t>Bone Scan / SPECT</t>
        </is>
      </c>
      <c r="Z4" s="2" t="inlineStr">
        <is>
          <t>PSMA PET-CT</t>
        </is>
      </c>
      <c r="AA4" s="2" t="inlineStr">
        <is>
          <t>CT Abdomen / Pelvis</t>
        </is>
      </c>
      <c r="AB4" s="2" t="inlineStr">
        <is>
          <t>DEXA Bone Density</t>
        </is>
      </c>
      <c r="AC4" s="2" t="inlineStr">
        <is>
          <t>Germline / Somatic Testing</t>
        </is>
      </c>
      <c r="AD4" s="2" t="inlineStr">
        <is>
          <t>Active Comorbidity: Type 2 Diabetes</t>
        </is>
      </c>
      <c r="AE4" s="2" t="inlineStr">
        <is>
          <t>Active Comorbidity: Hypertension</t>
        </is>
      </c>
      <c r="AF4" s="2" t="inlineStr">
        <is>
          <t>Active Comorbidity: CAD / IHD</t>
        </is>
      </c>
      <c r="AG4" s="2" t="inlineStr">
        <is>
          <t>Active Comorbidity: CKD (Stage)</t>
        </is>
      </c>
      <c r="AH4" s="2" t="inlineStr">
        <is>
          <t>Active Comorbidity: COPD</t>
        </is>
      </c>
      <c r="AI4" s="2" t="inlineStr">
        <is>
          <t>Active Comorbidity: Stroke / TIA</t>
        </is>
      </c>
      <c r="AJ4" s="2" t="inlineStr">
        <is>
          <t>Active Comorbidity: Anaemia</t>
        </is>
      </c>
      <c r="AK4" s="2" t="inlineStr">
        <is>
          <t>Active Comorbidity: Osteoporosis</t>
        </is>
      </c>
      <c r="AL4" s="2" t="inlineStr">
        <is>
          <t>Active Comorbidity: None significant</t>
        </is>
      </c>
      <c r="AM4" s="2" t="inlineStr">
        <is>
          <t>Family History: Prostate Ca (first-degree)</t>
        </is>
      </c>
      <c r="AN4" s="2" t="inlineStr">
        <is>
          <t>Family History: Breast Ca (family)</t>
        </is>
      </c>
      <c r="AO4" s="2" t="inlineStr">
        <is>
          <t>Family History: Ovarian cancer</t>
        </is>
      </c>
      <c r="AP4" s="2" t="inlineStr">
        <is>
          <t>Family History: Colon cancer</t>
        </is>
      </c>
      <c r="AQ4" s="2" t="inlineStr">
        <is>
          <t>Family History: Pancreatic cancer</t>
        </is>
      </c>
      <c r="AR4" s="2" t="inlineStr">
        <is>
          <t>Family History: None known</t>
        </is>
      </c>
      <c r="AS4" s="34" t="inlineStr">
        <is>
          <t>Imaging Response (PCWG3 / RECIST)</t>
        </is>
      </c>
    </row>
    <row r="5" ht="28.5" customHeight="1">
      <c r="A5" s="14" t="inlineStr">
        <is>
          <t>PCR-001</t>
        </is>
      </c>
      <c r="B5" s="9" t="n">
        <v>45981</v>
      </c>
      <c r="C5" s="14" t="inlineStr">
        <is>
          <t>LUTS (Lower urinary tract symptoms)</t>
        </is>
      </c>
      <c r="D5" s="14" t="inlineStr">
        <is>
          <t>8 months</t>
        </is>
      </c>
      <c r="E5" s="14" t="inlineStr">
        <is>
          <t>20–35 (Severe)</t>
        </is>
      </c>
      <c r="F5" s="14" t="inlineStr">
        <is>
          <t>None</t>
        </is>
      </c>
      <c r="G5" s="14" t="inlineStr">
        <is>
          <t>Nodule – bilateral</t>
        </is>
      </c>
      <c r="H5" s="4" t="n">
        <v>48</v>
      </c>
      <c r="I5" s="9" t="n">
        <v>45996</v>
      </c>
      <c r="J5" s="14" t="inlineStr">
        <is>
          <t>12-core TRUS biopsy</t>
        </is>
      </c>
      <c r="K5" s="14" t="inlineStr">
        <is>
          <t>PI-RADS 5</t>
        </is>
      </c>
      <c r="L5" s="14" t="inlineStr">
        <is>
          <t>4+5=9</t>
        </is>
      </c>
      <c r="M5" s="14" t="inlineStr">
        <is>
          <t>Grade 5 (≥4+5)</t>
        </is>
      </c>
      <c r="N5" s="14" t="inlineStr">
        <is>
          <t>10 / 12</t>
        </is>
      </c>
      <c r="O5" s="4" t="n">
        <v>78</v>
      </c>
      <c r="P5" s="14" t="inlineStr">
        <is>
          <t>Present</t>
        </is>
      </c>
      <c r="Q5" s="14" t="inlineStr">
        <is>
          <t>Present (radiological)</t>
        </is>
      </c>
      <c r="R5" s="14" t="inlineStr">
        <is>
          <t>cT3a</t>
        </is>
      </c>
      <c r="S5" s="14" t="inlineStr">
        <is>
          <t>cN0</t>
        </is>
      </c>
      <c r="T5" s="14" t="inlineStr">
        <is>
          <t>cM0</t>
        </is>
      </c>
      <c r="U5" s="14" t="inlineStr">
        <is>
          <t>High</t>
        </is>
      </c>
      <c r="V5" s="14" t="inlineStr">
        <is>
          <t>1 – Restricted strenuous activity</t>
        </is>
      </c>
      <c r="W5" s="14" t="inlineStr">
        <is>
          <t>Hormone-sensitive (HSPC)</t>
        </is>
      </c>
      <c r="X5" s="14" t="inlineStr">
        <is>
          <t>Done — abnormal</t>
        </is>
      </c>
      <c r="Y5" s="14" t="inlineStr">
        <is>
          <t>Not done</t>
        </is>
      </c>
      <c r="Z5" s="14" t="inlineStr">
        <is>
          <t>Not done</t>
        </is>
      </c>
      <c r="AA5" s="14" t="inlineStr">
        <is>
          <t>Done — lymphadenopathy</t>
        </is>
      </c>
      <c r="AB5" s="14" t="inlineStr">
        <is>
          <t>Not done</t>
        </is>
      </c>
      <c r="AC5" s="14" t="inlineStr">
        <is>
          <t>Not done</t>
        </is>
      </c>
      <c r="AD5" s="14" t="inlineStr">
        <is>
          <t>Yes</t>
        </is>
      </c>
      <c r="AE5" s="14" t="inlineStr">
        <is>
          <t>Yes</t>
        </is>
      </c>
      <c r="AF5" s="14" t="inlineStr">
        <is>
          <t>No</t>
        </is>
      </c>
      <c r="AG5" s="14" t="inlineStr">
        <is>
          <t>No</t>
        </is>
      </c>
      <c r="AH5" s="14" t="inlineStr">
        <is>
          <t>No</t>
        </is>
      </c>
      <c r="AI5" s="14" t="inlineStr">
        <is>
          <t>No</t>
        </is>
      </c>
      <c r="AJ5" s="14" t="inlineStr">
        <is>
          <t>No</t>
        </is>
      </c>
      <c r="AK5" s="14" t="inlineStr">
        <is>
          <t>No</t>
        </is>
      </c>
      <c r="AL5" s="14" t="inlineStr">
        <is>
          <t>No</t>
        </is>
      </c>
      <c r="AM5" s="14" t="inlineStr">
        <is>
          <t>No</t>
        </is>
      </c>
      <c r="AN5" s="14" t="inlineStr">
        <is>
          <t>Yes</t>
        </is>
      </c>
      <c r="AO5" s="14" t="inlineStr">
        <is>
          <t>No</t>
        </is>
      </c>
      <c r="AP5" s="14" t="inlineStr">
        <is>
          <t>No</t>
        </is>
      </c>
      <c r="AQ5" s="14" t="inlineStr">
        <is>
          <t>No</t>
        </is>
      </c>
      <c r="AR5" s="14" t="inlineStr">
        <is>
          <t>No</t>
        </is>
      </c>
    </row>
    <row r="6" ht="28.5" customHeight="1">
      <c r="A6" s="14" t="inlineStr">
        <is>
          <t>PCR-002</t>
        </is>
      </c>
      <c r="B6" s="9" t="n">
        <v>45894</v>
      </c>
      <c r="C6" s="14" t="inlineStr">
        <is>
          <t>Bone pain / backache</t>
        </is>
      </c>
      <c r="D6" s="14" t="inlineStr">
        <is>
          <t>3 months</t>
        </is>
      </c>
      <c r="E6" s="14" t="inlineStr">
        <is>
          <t>8–19 (Moderate)</t>
        </is>
      </c>
      <c r="F6" s="14" t="inlineStr">
        <is>
          <t>None</t>
        </is>
      </c>
      <c r="G6" s="14" t="inlineStr">
        <is>
          <t>Induration / fixity</t>
        </is>
      </c>
      <c r="H6" s="4" t="n">
        <v>55</v>
      </c>
      <c r="I6" s="9" t="n">
        <v>45899</v>
      </c>
      <c r="J6" s="14" t="inlineStr">
        <is>
          <t>MRI-targeted / Fusion biopsy</t>
        </is>
      </c>
      <c r="K6" s="14" t="inlineStr">
        <is>
          <t>PI-RADS 5</t>
        </is>
      </c>
      <c r="L6" s="14" t="inlineStr">
        <is>
          <t>5+4=9</t>
        </is>
      </c>
      <c r="M6" s="14" t="inlineStr">
        <is>
          <t>Grade 5 (≥4+5)</t>
        </is>
      </c>
      <c r="N6" s="14" t="inlineStr">
        <is>
          <t>11 / 12</t>
        </is>
      </c>
      <c r="O6" s="4" t="n">
        <v>90</v>
      </c>
      <c r="P6" s="14" t="inlineStr">
        <is>
          <t>Present</t>
        </is>
      </c>
      <c r="Q6" s="14" t="inlineStr">
        <is>
          <t>Present (radiological)</t>
        </is>
      </c>
      <c r="R6" s="14" t="inlineStr">
        <is>
          <t>cT3b</t>
        </is>
      </c>
      <c r="S6" s="14" t="inlineStr">
        <is>
          <t>cN1</t>
        </is>
      </c>
      <c r="T6" s="14" t="inlineStr">
        <is>
          <t>M1b (Bone mets)</t>
        </is>
      </c>
      <c r="U6" s="14" t="inlineStr">
        <is>
          <t>M1 – Metastatic HSPC</t>
        </is>
      </c>
      <c r="V6" s="14" t="inlineStr">
        <is>
          <t>1 – Restricted strenuous activity</t>
        </is>
      </c>
      <c r="W6" s="14" t="inlineStr">
        <is>
          <t>Hormone-sensitive (HSPC)</t>
        </is>
      </c>
      <c r="X6" s="14" t="inlineStr">
        <is>
          <t>Done — abnormal</t>
        </is>
      </c>
      <c r="Y6" s="14" t="inlineStr">
        <is>
          <t>Done — bone metastases present</t>
        </is>
      </c>
      <c r="Z6" s="14" t="inlineStr">
        <is>
          <t>Done — distant metastases</t>
        </is>
      </c>
      <c r="AA6" s="14" t="inlineStr">
        <is>
          <t>Done — lymphadenopathy</t>
        </is>
      </c>
      <c r="AB6" s="14" t="inlineStr">
        <is>
          <t>Osteopenia (T −1 to −2.5)</t>
        </is>
      </c>
      <c r="AC6" s="14" t="inlineStr">
        <is>
          <t>BRCA1/2 — negative</t>
        </is>
      </c>
      <c r="AD6" s="14" t="inlineStr">
        <is>
          <t>No</t>
        </is>
      </c>
      <c r="AE6" s="14" t="inlineStr">
        <is>
          <t>Yes</t>
        </is>
      </c>
      <c r="AF6" s="14" t="inlineStr">
        <is>
          <t>Yes</t>
        </is>
      </c>
      <c r="AG6" s="14" t="inlineStr">
        <is>
          <t>No</t>
        </is>
      </c>
      <c r="AH6" s="14" t="inlineStr">
        <is>
          <t>No</t>
        </is>
      </c>
      <c r="AI6" s="14" t="inlineStr">
        <is>
          <t>No</t>
        </is>
      </c>
      <c r="AJ6" s="14" t="inlineStr">
        <is>
          <t>No</t>
        </is>
      </c>
      <c r="AK6" s="14" t="inlineStr">
        <is>
          <t>No</t>
        </is>
      </c>
      <c r="AL6" s="14" t="inlineStr">
        <is>
          <t>No</t>
        </is>
      </c>
      <c r="AM6" s="14" t="inlineStr">
        <is>
          <t>No</t>
        </is>
      </c>
      <c r="AN6" s="14" t="inlineStr">
        <is>
          <t>No</t>
        </is>
      </c>
      <c r="AO6" s="14" t="inlineStr">
        <is>
          <t>No</t>
        </is>
      </c>
      <c r="AP6" s="14" t="inlineStr">
        <is>
          <t>No</t>
        </is>
      </c>
      <c r="AQ6" s="14" t="inlineStr">
        <is>
          <t>No</t>
        </is>
      </c>
      <c r="AR6" s="14" t="inlineStr">
        <is>
          <t>Yes</t>
        </is>
      </c>
    </row>
    <row r="7" ht="28.5" customHeight="1">
      <c r="A7" s="14" t="inlineStr">
        <is>
          <t>PCR-003</t>
        </is>
      </c>
      <c r="B7" s="9" t="n">
        <v>45912</v>
      </c>
      <c r="C7" s="14" t="inlineStr">
        <is>
          <t>Incidental PSA elevation</t>
        </is>
      </c>
      <c r="D7" s="14" t="inlineStr">
        <is>
          <t>2 months</t>
        </is>
      </c>
      <c r="E7" s="14" t="inlineStr">
        <is>
          <t>0–7 (Mild)</t>
        </is>
      </c>
      <c r="F7" s="14" t="inlineStr">
        <is>
          <t>None</t>
        </is>
      </c>
      <c r="G7" s="14" t="inlineStr">
        <is>
          <t>Nodule – unilateral</t>
        </is>
      </c>
      <c r="H7" s="4" t="n">
        <v>42</v>
      </c>
      <c r="I7" s="9" t="n">
        <v>45918</v>
      </c>
      <c r="J7" s="14" t="inlineStr">
        <is>
          <t>12-core TRUS biopsy</t>
        </is>
      </c>
      <c r="K7" s="14" t="inlineStr">
        <is>
          <t>PI-RADS 4</t>
        </is>
      </c>
      <c r="L7" s="14" t="inlineStr">
        <is>
          <t>4+4=8</t>
        </is>
      </c>
      <c r="M7" s="14" t="inlineStr">
        <is>
          <t>Grade 4 (4+4)</t>
        </is>
      </c>
      <c r="N7" s="14" t="inlineStr">
        <is>
          <t>8 / 12</t>
        </is>
      </c>
      <c r="O7" s="4" t="n">
        <v>66</v>
      </c>
      <c r="P7" s="14" t="inlineStr">
        <is>
          <t>Absent</t>
        </is>
      </c>
      <c r="Q7" s="14" t="inlineStr">
        <is>
          <t>Absent</t>
        </is>
      </c>
      <c r="R7" s="14" t="inlineStr">
        <is>
          <t>cT2c</t>
        </is>
      </c>
      <c r="S7" s="14" t="inlineStr">
        <is>
          <t>cN0</t>
        </is>
      </c>
      <c r="T7" s="14" t="inlineStr">
        <is>
          <t>cM0</t>
        </is>
      </c>
      <c r="U7" s="14" t="inlineStr">
        <is>
          <t>Very High / Locally Advanced</t>
        </is>
      </c>
      <c r="V7" s="14" t="inlineStr">
        <is>
          <t>0 – Fully active</t>
        </is>
      </c>
      <c r="W7" s="14" t="inlineStr">
        <is>
          <t>Hormone-sensitive (HSPC)</t>
        </is>
      </c>
      <c r="X7" s="14" t="inlineStr">
        <is>
          <t>Done — abnormal</t>
        </is>
      </c>
      <c r="Y7" s="14" t="inlineStr">
        <is>
          <t>Done — no metastases</t>
        </is>
      </c>
      <c r="Z7" s="14" t="inlineStr">
        <is>
          <t>Done — pelvic nodal uptake</t>
        </is>
      </c>
      <c r="AA7" s="14" t="inlineStr">
        <is>
          <t>Done — normal</t>
        </is>
      </c>
      <c r="AB7" s="14" t="inlineStr">
        <is>
          <t>Not done</t>
        </is>
      </c>
      <c r="AC7" s="14" t="inlineStr">
        <is>
          <t>Pending</t>
        </is>
      </c>
      <c r="AD7" s="14" t="inlineStr">
        <is>
          <t>No</t>
        </is>
      </c>
      <c r="AE7" s="14" t="inlineStr">
        <is>
          <t>No</t>
        </is>
      </c>
      <c r="AF7" s="14" t="inlineStr">
        <is>
          <t>No</t>
        </is>
      </c>
      <c r="AG7" s="14" t="inlineStr">
        <is>
          <t>No</t>
        </is>
      </c>
      <c r="AH7" s="14" t="inlineStr">
        <is>
          <t>No</t>
        </is>
      </c>
      <c r="AI7" s="14" t="inlineStr">
        <is>
          <t>No</t>
        </is>
      </c>
      <c r="AJ7" s="14" t="inlineStr">
        <is>
          <t>No</t>
        </is>
      </c>
      <c r="AK7" s="14" t="inlineStr">
        <is>
          <t>No</t>
        </is>
      </c>
      <c r="AL7" s="14" t="inlineStr">
        <is>
          <t>Yes</t>
        </is>
      </c>
      <c r="AM7" s="14" t="inlineStr">
        <is>
          <t>No</t>
        </is>
      </c>
      <c r="AN7" s="14" t="inlineStr">
        <is>
          <t>No</t>
        </is>
      </c>
      <c r="AO7" s="14" t="inlineStr">
        <is>
          <t>No</t>
        </is>
      </c>
      <c r="AP7" s="14" t="inlineStr">
        <is>
          <t>No</t>
        </is>
      </c>
      <c r="AQ7" s="14" t="inlineStr">
        <is>
          <t>No</t>
        </is>
      </c>
      <c r="AR7" s="14" t="inlineStr">
        <is>
          <t>Yes</t>
        </is>
      </c>
    </row>
    <row r="8" ht="28.5" customHeight="1">
      <c r="A8" s="14" t="inlineStr">
        <is>
          <t>PCR-004</t>
        </is>
      </c>
      <c r="B8" s="9" t="n">
        <v>45085</v>
      </c>
      <c r="C8" s="14" t="inlineStr">
        <is>
          <t>Haematuria</t>
        </is>
      </c>
      <c r="D8" s="14" t="inlineStr">
        <is>
          <t>5 months</t>
        </is>
      </c>
      <c r="E8" s="14" t="inlineStr">
        <is>
          <t>8–19 (Moderate)</t>
        </is>
      </c>
      <c r="F8" s="14" t="inlineStr">
        <is>
          <t>Constipation</t>
        </is>
      </c>
      <c r="G8" s="14" t="inlineStr">
        <is>
          <t>Induration / fixity</t>
        </is>
      </c>
      <c r="H8" s="4" t="n">
        <v>61</v>
      </c>
      <c r="I8" s="9" t="n">
        <v>45091</v>
      </c>
      <c r="J8" s="14" t="inlineStr">
        <is>
          <t>TURP chips</t>
        </is>
      </c>
      <c r="K8" s="14" t="inlineStr">
        <is>
          <t>Not done</t>
        </is>
      </c>
      <c r="L8" s="14" t="inlineStr">
        <is>
          <t>4+3=7</t>
        </is>
      </c>
      <c r="M8" s="14" t="inlineStr">
        <is>
          <t>Grade 3 (4+3)</t>
        </is>
      </c>
      <c r="N8" s="14" t="inlineStr">
        <is>
          <t>TURP chips positive</t>
        </is>
      </c>
      <c r="O8" s="4" t="n">
        <v>60</v>
      </c>
      <c r="P8" s="14" t="inlineStr">
        <is>
          <t>Not assessed</t>
        </is>
      </c>
      <c r="Q8" s="14" t="inlineStr">
        <is>
          <t>Not assessed</t>
        </is>
      </c>
      <c r="R8" s="14" t="inlineStr">
        <is>
          <t>cT3b</t>
        </is>
      </c>
      <c r="S8" s="14" t="inlineStr">
        <is>
          <t>cN1</t>
        </is>
      </c>
      <c r="T8" s="14" t="inlineStr">
        <is>
          <t>M1c (Visceral mets)</t>
        </is>
      </c>
      <c r="U8" s="14" t="inlineStr">
        <is>
          <t>M1 – Metastatic HSPC</t>
        </is>
      </c>
      <c r="V8" s="14" t="inlineStr">
        <is>
          <t>2 – Ambulatory, self-care only</t>
        </is>
      </c>
      <c r="W8" s="14" t="inlineStr">
        <is>
          <t>Castration-resistant (CRPC)</t>
        </is>
      </c>
      <c r="X8" s="14" t="inlineStr">
        <is>
          <t>Not done</t>
        </is>
      </c>
      <c r="Y8" s="14" t="inlineStr">
        <is>
          <t>Done — bone metastases present</t>
        </is>
      </c>
      <c r="Z8" s="14" t="inlineStr">
        <is>
          <t>Done — distant metastases</t>
        </is>
      </c>
      <c r="AA8" s="14" t="inlineStr">
        <is>
          <t>Done — lymphadenopathy</t>
        </is>
      </c>
      <c r="AB8" s="14" t="inlineStr">
        <is>
          <t>Osteoporosis (T-score &lt; −2.5)</t>
        </is>
      </c>
      <c r="AC8" s="14" t="inlineStr">
        <is>
          <t>HRR mutation (non-BRCA)</t>
        </is>
      </c>
      <c r="AD8" s="14" t="inlineStr">
        <is>
          <t>Yes</t>
        </is>
      </c>
      <c r="AE8" s="14" t="inlineStr">
        <is>
          <t>No</t>
        </is>
      </c>
      <c r="AF8" s="14" t="inlineStr">
        <is>
          <t>No</t>
        </is>
      </c>
      <c r="AG8" s="14" t="inlineStr">
        <is>
          <t>Yes</t>
        </is>
      </c>
      <c r="AH8" s="14" t="inlineStr">
        <is>
          <t>No</t>
        </is>
      </c>
      <c r="AI8" s="14" t="inlineStr">
        <is>
          <t>No</t>
        </is>
      </c>
      <c r="AJ8" s="14" t="inlineStr">
        <is>
          <t>Yes</t>
        </is>
      </c>
      <c r="AK8" s="14" t="inlineStr">
        <is>
          <t>No</t>
        </is>
      </c>
      <c r="AL8" s="14" t="inlineStr">
        <is>
          <t>No</t>
        </is>
      </c>
      <c r="AM8" s="14" t="inlineStr">
        <is>
          <t>No</t>
        </is>
      </c>
      <c r="AN8" s="14" t="inlineStr">
        <is>
          <t>No</t>
        </is>
      </c>
      <c r="AO8" s="14" t="inlineStr">
        <is>
          <t>No</t>
        </is>
      </c>
      <c r="AP8" s="14" t="inlineStr">
        <is>
          <t>No</t>
        </is>
      </c>
      <c r="AQ8" s="14" t="inlineStr">
        <is>
          <t>Yes</t>
        </is>
      </c>
      <c r="AR8" s="14" t="inlineStr">
        <is>
          <t>No</t>
        </is>
      </c>
    </row>
    <row r="9">
      <c r="A9" s="14" t="n"/>
      <c r="B9" s="9" t="n"/>
      <c r="C9" s="14" t="n"/>
      <c r="D9" s="14" t="n"/>
      <c r="E9" s="14" t="n"/>
      <c r="F9" s="14" t="n"/>
      <c r="G9" s="14" t="n"/>
      <c r="H9" s="4" t="n"/>
      <c r="I9" s="9" t="n"/>
      <c r="J9" s="14" t="n"/>
      <c r="K9" s="14" t="n"/>
      <c r="L9" s="14" t="n"/>
      <c r="M9" s="14" t="n"/>
      <c r="N9" s="14" t="n"/>
      <c r="O9" s="4" t="n"/>
      <c r="P9" s="14" t="n"/>
      <c r="Q9" s="14" t="n"/>
      <c r="R9" s="14" t="n"/>
      <c r="S9" s="14" t="n"/>
      <c r="T9" s="14" t="n"/>
      <c r="U9" s="14" t="n"/>
      <c r="V9" s="14" t="n"/>
      <c r="W9" s="14" t="n"/>
      <c r="X9" s="14" t="n"/>
      <c r="Y9" s="14" t="n"/>
      <c r="Z9" s="14" t="n"/>
      <c r="AA9" s="14" t="n"/>
      <c r="AB9" s="14" t="n"/>
      <c r="AC9" s="14" t="n"/>
      <c r="AD9" s="14" t="n"/>
      <c r="AE9" s="14" t="n"/>
      <c r="AF9" s="14" t="n"/>
      <c r="AG9" s="14" t="n"/>
      <c r="AH9" s="14" t="n"/>
      <c r="AI9" s="14" t="n"/>
      <c r="AJ9" s="14" t="n"/>
      <c r="AK9" s="14" t="n"/>
      <c r="AL9" s="14" t="n"/>
      <c r="AM9" s="14" t="n"/>
      <c r="AN9" s="14" t="n"/>
      <c r="AO9" s="14" t="n"/>
      <c r="AP9" s="14" t="n"/>
      <c r="AQ9" s="14" t="n"/>
      <c r="AR9" s="14" t="n"/>
    </row>
    <row r="10">
      <c r="A10" s="14" t="n"/>
      <c r="B10" s="9" t="n"/>
      <c r="C10" s="14" t="n"/>
      <c r="D10" s="14" t="n"/>
      <c r="E10" s="14" t="n"/>
      <c r="F10" s="14" t="n"/>
      <c r="G10" s="14" t="n"/>
      <c r="H10" s="4" t="n"/>
      <c r="I10" s="9" t="n"/>
      <c r="J10" s="14" t="n"/>
      <c r="K10" s="14" t="n"/>
      <c r="L10" s="14" t="n"/>
      <c r="M10" s="14" t="n"/>
      <c r="N10" s="14" t="n"/>
      <c r="O10" s="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row>
    <row r="11">
      <c r="A11" s="14" t="n"/>
      <c r="B11" s="9" t="n"/>
      <c r="C11" s="14" t="n"/>
      <c r="D11" s="14" t="n"/>
      <c r="E11" s="14" t="n"/>
      <c r="F11" s="14" t="n"/>
      <c r="G11" s="14" t="n"/>
      <c r="H11" s="4" t="n"/>
      <c r="I11" s="9" t="n"/>
      <c r="J11" s="14" t="n"/>
      <c r="K11" s="14" t="n"/>
      <c r="L11" s="14" t="n"/>
      <c r="M11" s="14" t="n"/>
      <c r="N11" s="14" t="n"/>
      <c r="O11" s="4" t="n"/>
      <c r="P11" s="14" t="n"/>
      <c r="Q11" s="14" t="n"/>
      <c r="R11" s="14" t="n"/>
      <c r="S11" s="14" t="n"/>
      <c r="T11" s="14" t="n"/>
      <c r="U11" s="14" t="n"/>
      <c r="V11" s="14" t="n"/>
      <c r="W11" s="14" t="n"/>
      <c r="X11" s="14" t="n"/>
      <c r="Y11" s="14" t="n"/>
      <c r="Z11" s="14" t="n"/>
      <c r="AA11" s="14" t="n"/>
      <c r="AB11" s="14" t="n"/>
      <c r="AC11" s="14" t="n"/>
      <c r="AD11" s="14" t="n"/>
      <c r="AE11" s="14" t="n"/>
      <c r="AF11" s="14" t="n"/>
      <c r="AG11" s="14" t="n"/>
      <c r="AH11" s="14" t="n"/>
      <c r="AI11" s="14" t="n"/>
      <c r="AJ11" s="14" t="n"/>
      <c r="AK11" s="14" t="n"/>
      <c r="AL11" s="14" t="n"/>
      <c r="AM11" s="14" t="n"/>
      <c r="AN11" s="14" t="n"/>
      <c r="AO11" s="14" t="n"/>
      <c r="AP11" s="14" t="n"/>
      <c r="AQ11" s="14" t="n"/>
      <c r="AR11" s="14" t="n"/>
    </row>
    <row r="12">
      <c r="A12" s="14" t="n"/>
      <c r="B12" s="9" t="n"/>
      <c r="C12" s="14" t="n"/>
      <c r="D12" s="14" t="n"/>
      <c r="E12" s="14" t="n"/>
      <c r="F12" s="14" t="n"/>
      <c r="G12" s="14" t="n"/>
      <c r="H12" s="4" t="n"/>
      <c r="I12" s="9" t="n"/>
      <c r="J12" s="14" t="n"/>
      <c r="K12" s="14" t="n"/>
      <c r="L12" s="14" t="n"/>
      <c r="M12" s="14" t="n"/>
      <c r="N12" s="14" t="n"/>
      <c r="O12" s="4" t="n"/>
      <c r="P12" s="14" t="n"/>
      <c r="Q12" s="14" t="n"/>
      <c r="R12" s="14" t="n"/>
      <c r="S12" s="14" t="n"/>
      <c r="T12" s="14" t="n"/>
      <c r="U12" s="14" t="n"/>
      <c r="V12" s="14" t="n"/>
      <c r="W12" s="14" t="n"/>
      <c r="X12" s="14" t="n"/>
      <c r="Y12" s="14" t="n"/>
      <c r="Z12" s="14" t="n"/>
      <c r="AA12" s="14" t="n"/>
      <c r="AB12" s="14" t="n"/>
      <c r="AC12" s="14" t="n"/>
      <c r="AD12" s="14" t="n"/>
      <c r="AE12" s="14" t="n"/>
      <c r="AF12" s="14" t="n"/>
      <c r="AG12" s="14" t="n"/>
      <c r="AH12" s="14" t="n"/>
      <c r="AI12" s="14" t="n"/>
      <c r="AJ12" s="14" t="n"/>
      <c r="AK12" s="14" t="n"/>
      <c r="AL12" s="14" t="n"/>
      <c r="AM12" s="14" t="n"/>
      <c r="AN12" s="14" t="n"/>
      <c r="AO12" s="14" t="n"/>
      <c r="AP12" s="14" t="n"/>
      <c r="AQ12" s="14" t="n"/>
      <c r="AR12" s="14" t="n"/>
    </row>
    <row r="13">
      <c r="A13" s="14" t="n"/>
      <c r="B13" s="9" t="n"/>
      <c r="C13" s="14" t="n"/>
      <c r="D13" s="14" t="n"/>
      <c r="E13" s="14" t="n"/>
      <c r="F13" s="14" t="n"/>
      <c r="G13" s="14" t="n"/>
      <c r="H13" s="4" t="n"/>
      <c r="I13" s="9" t="n"/>
      <c r="J13" s="14" t="n"/>
      <c r="K13" s="14" t="n"/>
      <c r="L13" s="14" t="n"/>
      <c r="M13" s="14" t="n"/>
      <c r="N13" s="14" t="n"/>
      <c r="O13" s="4" t="n"/>
      <c r="P13" s="14" t="n"/>
      <c r="Q13" s="14" t="n"/>
      <c r="R13" s="14" t="n"/>
      <c r="S13" s="14" t="n"/>
      <c r="T13" s="14" t="n"/>
      <c r="U13" s="14" t="n"/>
      <c r="V13" s="14" t="n"/>
      <c r="W13" s="14" t="n"/>
      <c r="X13" s="14" t="n"/>
      <c r="Y13" s="14" t="n"/>
      <c r="Z13" s="14" t="n"/>
      <c r="AA13" s="14" t="n"/>
      <c r="AB13" s="14" t="n"/>
      <c r="AC13" s="14" t="n"/>
      <c r="AD13" s="14" t="n"/>
      <c r="AE13" s="14" t="n"/>
      <c r="AF13" s="14" t="n"/>
      <c r="AG13" s="14" t="n"/>
      <c r="AH13" s="14" t="n"/>
      <c r="AI13" s="14" t="n"/>
      <c r="AJ13" s="14" t="n"/>
      <c r="AK13" s="14" t="n"/>
      <c r="AL13" s="14" t="n"/>
      <c r="AM13" s="14" t="n"/>
      <c r="AN13" s="14" t="n"/>
      <c r="AO13" s="14" t="n"/>
      <c r="AP13" s="14" t="n"/>
      <c r="AQ13" s="14" t="n"/>
      <c r="AR13" s="14" t="n"/>
    </row>
    <row r="14">
      <c r="A14" s="14" t="n"/>
      <c r="B14" s="9" t="n"/>
      <c r="C14" s="14" t="n"/>
      <c r="D14" s="14" t="n"/>
      <c r="E14" s="14" t="n"/>
      <c r="F14" s="14" t="n"/>
      <c r="G14" s="14" t="n"/>
      <c r="H14" s="4" t="n"/>
      <c r="I14" s="9" t="n"/>
      <c r="J14" s="14" t="n"/>
      <c r="K14" s="14" t="n"/>
      <c r="L14" s="14" t="n"/>
      <c r="M14" s="14" t="n"/>
      <c r="N14" s="14" t="n"/>
      <c r="O14" s="4" t="n"/>
      <c r="P14" s="14" t="n"/>
      <c r="Q14" s="14" t="n"/>
      <c r="R14" s="14" t="n"/>
      <c r="S14" s="14" t="n"/>
      <c r="T14" s="14" t="n"/>
      <c r="U14" s="14" t="n"/>
      <c r="V14" s="14" t="n"/>
      <c r="W14" s="14" t="n"/>
      <c r="X14" s="14" t="n"/>
      <c r="Y14" s="14" t="n"/>
      <c r="Z14" s="14" t="n"/>
      <c r="AA14" s="14" t="n"/>
      <c r="AB14" s="14" t="n"/>
      <c r="AC14" s="14" t="n"/>
      <c r="AD14" s="14" t="n"/>
      <c r="AE14" s="14" t="n"/>
      <c r="AF14" s="14" t="n"/>
      <c r="AG14" s="14" t="n"/>
      <c r="AH14" s="14" t="n"/>
      <c r="AI14" s="14" t="n"/>
      <c r="AJ14" s="14" t="n"/>
      <c r="AK14" s="14" t="n"/>
      <c r="AL14" s="14" t="n"/>
      <c r="AM14" s="14" t="n"/>
      <c r="AN14" s="14" t="n"/>
      <c r="AO14" s="14" t="n"/>
      <c r="AP14" s="14" t="n"/>
      <c r="AQ14" s="14" t="n"/>
      <c r="AR14" s="14" t="n"/>
    </row>
    <row r="15">
      <c r="A15" s="14" t="n"/>
      <c r="B15" s="9" t="n"/>
      <c r="C15" s="14" t="n"/>
      <c r="D15" s="14" t="n"/>
      <c r="E15" s="14" t="n"/>
      <c r="F15" s="14" t="n"/>
      <c r="G15" s="14" t="n"/>
      <c r="H15" s="4" t="n"/>
      <c r="I15" s="9" t="n"/>
      <c r="J15" s="14" t="n"/>
      <c r="K15" s="14" t="n"/>
      <c r="L15" s="14" t="n"/>
      <c r="M15" s="14" t="n"/>
      <c r="N15" s="14" t="n"/>
      <c r="O15" s="4" t="n"/>
      <c r="P15" s="14" t="n"/>
      <c r="Q15" s="14" t="n"/>
      <c r="R15" s="14" t="n"/>
      <c r="S15" s="14" t="n"/>
      <c r="T15" s="14" t="n"/>
      <c r="U15" s="14" t="n"/>
      <c r="V15" s="14" t="n"/>
      <c r="W15" s="14" t="n"/>
      <c r="X15" s="14" t="n"/>
      <c r="Y15" s="14" t="n"/>
      <c r="Z15" s="14" t="n"/>
      <c r="AA15" s="14" t="n"/>
      <c r="AB15" s="14" t="n"/>
      <c r="AC15" s="14" t="n"/>
      <c r="AD15" s="14" t="n"/>
      <c r="AE15" s="14" t="n"/>
      <c r="AF15" s="14" t="n"/>
      <c r="AG15" s="14" t="n"/>
      <c r="AH15" s="14" t="n"/>
      <c r="AI15" s="14" t="n"/>
      <c r="AJ15" s="14" t="n"/>
      <c r="AK15" s="14" t="n"/>
      <c r="AL15" s="14" t="n"/>
      <c r="AM15" s="14" t="n"/>
      <c r="AN15" s="14" t="n"/>
      <c r="AO15" s="14" t="n"/>
      <c r="AP15" s="14" t="n"/>
      <c r="AQ15" s="14" t="n"/>
      <c r="AR15" s="14" t="n"/>
    </row>
    <row r="16">
      <c r="A16" s="14" t="n"/>
      <c r="B16" s="9" t="n"/>
      <c r="C16" s="14" t="n"/>
      <c r="D16" s="14" t="n"/>
      <c r="E16" s="14" t="n"/>
      <c r="F16" s="14" t="n"/>
      <c r="G16" s="14" t="n"/>
      <c r="H16" s="4" t="n"/>
      <c r="I16" s="9" t="n"/>
      <c r="J16" s="14" t="n"/>
      <c r="K16" s="14" t="n"/>
      <c r="L16" s="14" t="n"/>
      <c r="M16" s="14" t="n"/>
      <c r="N16" s="14" t="n"/>
      <c r="O16" s="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14" t="n"/>
      <c r="AL16" s="14" t="n"/>
      <c r="AM16" s="14" t="n"/>
      <c r="AN16" s="14" t="n"/>
      <c r="AO16" s="14" t="n"/>
      <c r="AP16" s="14" t="n"/>
      <c r="AQ16" s="14" t="n"/>
      <c r="AR16" s="14" t="n"/>
    </row>
    <row r="17">
      <c r="A17" s="14" t="n"/>
      <c r="B17" s="9" t="n"/>
      <c r="C17" s="14" t="n"/>
      <c r="D17" s="14" t="n"/>
      <c r="E17" s="14" t="n"/>
      <c r="F17" s="14" t="n"/>
      <c r="G17" s="14" t="n"/>
      <c r="H17" s="4" t="n"/>
      <c r="I17" s="9" t="n"/>
      <c r="J17" s="14" t="n"/>
      <c r="K17" s="14" t="n"/>
      <c r="L17" s="14" t="n"/>
      <c r="M17" s="14" t="n"/>
      <c r="N17" s="14" t="n"/>
      <c r="O17" s="4" t="n"/>
      <c r="P17" s="14" t="n"/>
      <c r="Q17" s="14" t="n"/>
      <c r="R17" s="14" t="n"/>
      <c r="S17" s="14" t="n"/>
      <c r="T17" s="14" t="n"/>
      <c r="U17" s="14" t="n"/>
      <c r="V17" s="14" t="n"/>
      <c r="W17" s="14" t="n"/>
      <c r="X17" s="14" t="n"/>
      <c r="Y17" s="14" t="n"/>
      <c r="Z17" s="14" t="n"/>
      <c r="AA17" s="14" t="n"/>
      <c r="AB17" s="14" t="n"/>
      <c r="AC17" s="14" t="n"/>
      <c r="AD17" s="14" t="n"/>
      <c r="AE17" s="14" t="n"/>
      <c r="AF17" s="14" t="n"/>
      <c r="AG17" s="14" t="n"/>
      <c r="AH17" s="14" t="n"/>
      <c r="AI17" s="14" t="n"/>
      <c r="AJ17" s="14" t="n"/>
      <c r="AK17" s="14" t="n"/>
      <c r="AL17" s="14" t="n"/>
      <c r="AM17" s="14" t="n"/>
      <c r="AN17" s="14" t="n"/>
      <c r="AO17" s="14" t="n"/>
      <c r="AP17" s="14" t="n"/>
      <c r="AQ17" s="14" t="n"/>
      <c r="AR17" s="14" t="n"/>
    </row>
    <row r="18">
      <c r="A18" s="14" t="n"/>
      <c r="B18" s="9" t="n"/>
      <c r="C18" s="14" t="n"/>
      <c r="D18" s="14" t="n"/>
      <c r="E18" s="14" t="n"/>
      <c r="F18" s="14" t="n"/>
      <c r="G18" s="14" t="n"/>
      <c r="H18" s="4" t="n"/>
      <c r="I18" s="9" t="n"/>
      <c r="J18" s="14" t="n"/>
      <c r="K18" s="14" t="n"/>
      <c r="L18" s="14" t="n"/>
      <c r="M18" s="14" t="n"/>
      <c r="N18" s="14" t="n"/>
      <c r="O18" s="4" t="n"/>
      <c r="P18" s="14" t="n"/>
      <c r="Q18" s="14" t="n"/>
      <c r="R18" s="14" t="n"/>
      <c r="S18" s="14" t="n"/>
      <c r="T18" s="14" t="n"/>
      <c r="U18" s="14" t="n"/>
      <c r="V18" s="14" t="n"/>
      <c r="W18" s="14" t="n"/>
      <c r="X18" s="14" t="n"/>
      <c r="Y18" s="14" t="n"/>
      <c r="Z18" s="14" t="n"/>
      <c r="AA18" s="14" t="n"/>
      <c r="AB18" s="14" t="n"/>
      <c r="AC18" s="14" t="n"/>
      <c r="AD18" s="14" t="n"/>
      <c r="AE18" s="14" t="n"/>
      <c r="AF18" s="14" t="n"/>
      <c r="AG18" s="14" t="n"/>
      <c r="AH18" s="14" t="n"/>
      <c r="AI18" s="14" t="n"/>
      <c r="AJ18" s="14" t="n"/>
      <c r="AK18" s="14" t="n"/>
      <c r="AL18" s="14" t="n"/>
      <c r="AM18" s="14" t="n"/>
      <c r="AN18" s="14" t="n"/>
      <c r="AO18" s="14" t="n"/>
      <c r="AP18" s="14" t="n"/>
      <c r="AQ18" s="14" t="n"/>
      <c r="AR18" s="14" t="n"/>
    </row>
    <row r="19">
      <c r="A19" s="14" t="n"/>
      <c r="B19" s="9" t="n"/>
      <c r="C19" s="14" t="n"/>
      <c r="D19" s="14" t="n"/>
      <c r="E19" s="14" t="n"/>
      <c r="F19" s="14" t="n"/>
      <c r="G19" s="14" t="n"/>
      <c r="H19" s="4" t="n"/>
      <c r="I19" s="9" t="n"/>
      <c r="J19" s="14" t="n"/>
      <c r="K19" s="14" t="n"/>
      <c r="L19" s="14" t="n"/>
      <c r="M19" s="14" t="n"/>
      <c r="N19" s="14" t="n"/>
      <c r="O19" s="4" t="n"/>
      <c r="P19" s="14" t="n"/>
      <c r="Q19" s="14" t="n"/>
      <c r="R19" s="14" t="n"/>
      <c r="S19" s="14" t="n"/>
      <c r="T19" s="14" t="n"/>
      <c r="U19" s="14" t="n"/>
      <c r="V19" s="14" t="n"/>
      <c r="W19" s="14" t="n"/>
      <c r="X19" s="14" t="n"/>
      <c r="Y19" s="14" t="n"/>
      <c r="Z19" s="14" t="n"/>
      <c r="AA19" s="14" t="n"/>
      <c r="AB19" s="14" t="n"/>
      <c r="AC19" s="14" t="n"/>
      <c r="AD19" s="14" t="n"/>
      <c r="AE19" s="14" t="n"/>
      <c r="AF19" s="14" t="n"/>
      <c r="AG19" s="14" t="n"/>
      <c r="AH19" s="14" t="n"/>
      <c r="AI19" s="14" t="n"/>
      <c r="AJ19" s="14" t="n"/>
      <c r="AK19" s="14" t="n"/>
      <c r="AL19" s="14" t="n"/>
      <c r="AM19" s="14" t="n"/>
      <c r="AN19" s="14" t="n"/>
      <c r="AO19" s="14" t="n"/>
      <c r="AP19" s="14" t="n"/>
      <c r="AQ19" s="14" t="n"/>
      <c r="AR19" s="14" t="n"/>
    </row>
    <row r="20">
      <c r="A20" s="14" t="n"/>
      <c r="B20" s="9" t="n"/>
      <c r="C20" s="14" t="n"/>
      <c r="D20" s="14" t="n"/>
      <c r="E20" s="14" t="n"/>
      <c r="F20" s="14" t="n"/>
      <c r="G20" s="14" t="n"/>
      <c r="H20" s="4" t="n"/>
      <c r="I20" s="9" t="n"/>
      <c r="J20" s="14" t="n"/>
      <c r="K20" s="14" t="n"/>
      <c r="L20" s="14" t="n"/>
      <c r="M20" s="14" t="n"/>
      <c r="N20" s="14" t="n"/>
      <c r="O20" s="4" t="n"/>
      <c r="P20" s="14" t="n"/>
      <c r="Q20" s="14" t="n"/>
      <c r="R20" s="14" t="n"/>
      <c r="S20" s="14" t="n"/>
      <c r="T20" s="14" t="n"/>
      <c r="U20" s="14" t="n"/>
      <c r="V20" s="14" t="n"/>
      <c r="W20" s="14" t="n"/>
      <c r="X20" s="14" t="n"/>
      <c r="Y20" s="14" t="n"/>
      <c r="Z20" s="14" t="n"/>
      <c r="AA20" s="14" t="n"/>
      <c r="AB20" s="14" t="n"/>
      <c r="AC20" s="14" t="n"/>
      <c r="AD20" s="14" t="n"/>
      <c r="AE20" s="14" t="n"/>
      <c r="AF20" s="14" t="n"/>
      <c r="AG20" s="14" t="n"/>
      <c r="AH20" s="14" t="n"/>
      <c r="AI20" s="14" t="n"/>
      <c r="AJ20" s="14" t="n"/>
      <c r="AK20" s="14" t="n"/>
      <c r="AL20" s="14" t="n"/>
      <c r="AM20" s="14" t="n"/>
      <c r="AN20" s="14" t="n"/>
      <c r="AO20" s="14" t="n"/>
      <c r="AP20" s="14" t="n"/>
      <c r="AQ20" s="14" t="n"/>
      <c r="AR20" s="14" t="n"/>
    </row>
    <row r="21">
      <c r="A21" s="14" t="n"/>
      <c r="B21" s="9" t="n"/>
      <c r="C21" s="14" t="n"/>
      <c r="D21" s="14" t="n"/>
      <c r="E21" s="14" t="n"/>
      <c r="F21" s="14" t="n"/>
      <c r="G21" s="14" t="n"/>
      <c r="H21" s="4" t="n"/>
      <c r="I21" s="9" t="n"/>
      <c r="J21" s="14" t="n"/>
      <c r="K21" s="14" t="n"/>
      <c r="L21" s="14" t="n"/>
      <c r="M21" s="14" t="n"/>
      <c r="N21" s="14" t="n"/>
      <c r="O21" s="4" t="n"/>
      <c r="P21" s="14" t="n"/>
      <c r="Q21" s="14" t="n"/>
      <c r="R21" s="14" t="n"/>
      <c r="S21" s="14" t="n"/>
      <c r="T21" s="14" t="n"/>
      <c r="U21" s="14" t="n"/>
      <c r="V21" s="14" t="n"/>
      <c r="W21" s="14" t="n"/>
      <c r="X21" s="14" t="n"/>
      <c r="Y21" s="14" t="n"/>
      <c r="Z21" s="14" t="n"/>
      <c r="AA21" s="14" t="n"/>
      <c r="AB21" s="14" t="n"/>
      <c r="AC21" s="14" t="n"/>
      <c r="AD21" s="14" t="n"/>
      <c r="AE21" s="14" t="n"/>
      <c r="AF21" s="14" t="n"/>
      <c r="AG21" s="14" t="n"/>
      <c r="AH21" s="14" t="n"/>
      <c r="AI21" s="14" t="n"/>
      <c r="AJ21" s="14" t="n"/>
      <c r="AK21" s="14" t="n"/>
      <c r="AL21" s="14" t="n"/>
      <c r="AM21" s="14" t="n"/>
      <c r="AN21" s="14" t="n"/>
      <c r="AO21" s="14" t="n"/>
      <c r="AP21" s="14" t="n"/>
      <c r="AQ21" s="14" t="n"/>
      <c r="AR21" s="14" t="n"/>
    </row>
    <row r="22">
      <c r="A22" s="14" t="n"/>
      <c r="B22" s="9" t="n"/>
      <c r="C22" s="14" t="n"/>
      <c r="D22" s="14" t="n"/>
      <c r="E22" s="14" t="n"/>
      <c r="F22" s="14" t="n"/>
      <c r="G22" s="14" t="n"/>
      <c r="H22" s="4" t="n"/>
      <c r="I22" s="9" t="n"/>
      <c r="J22" s="14" t="n"/>
      <c r="K22" s="14" t="n"/>
      <c r="L22" s="14" t="n"/>
      <c r="M22" s="14" t="n"/>
      <c r="N22" s="14" t="n"/>
      <c r="O22" s="4" t="n"/>
      <c r="P22" s="14" t="n"/>
      <c r="Q22" s="14" t="n"/>
      <c r="R22" s="14" t="n"/>
      <c r="S22" s="14" t="n"/>
      <c r="T22" s="14" t="n"/>
      <c r="U22" s="14" t="n"/>
      <c r="V22" s="14" t="n"/>
      <c r="W22" s="14" t="n"/>
      <c r="X22" s="14" t="n"/>
      <c r="Y22" s="14" t="n"/>
      <c r="Z22" s="14" t="n"/>
      <c r="AA22" s="14" t="n"/>
      <c r="AB22" s="14" t="n"/>
      <c r="AC22" s="14" t="n"/>
      <c r="AD22" s="14" t="n"/>
      <c r="AE22" s="14" t="n"/>
      <c r="AF22" s="14" t="n"/>
      <c r="AG22" s="14" t="n"/>
      <c r="AH22" s="14" t="n"/>
      <c r="AI22" s="14" t="n"/>
      <c r="AJ22" s="14" t="n"/>
      <c r="AK22" s="14" t="n"/>
      <c r="AL22" s="14" t="n"/>
      <c r="AM22" s="14" t="n"/>
      <c r="AN22" s="14" t="n"/>
      <c r="AO22" s="14" t="n"/>
      <c r="AP22" s="14" t="n"/>
      <c r="AQ22" s="14" t="n"/>
      <c r="AR22" s="14" t="n"/>
    </row>
    <row r="23">
      <c r="A23" s="14" t="n"/>
      <c r="B23" s="9" t="n"/>
      <c r="C23" s="14" t="n"/>
      <c r="D23" s="14" t="n"/>
      <c r="E23" s="14" t="n"/>
      <c r="F23" s="14" t="n"/>
      <c r="G23" s="14" t="n"/>
      <c r="H23" s="4" t="n"/>
      <c r="I23" s="9" t="n"/>
      <c r="J23" s="14" t="n"/>
      <c r="K23" s="14" t="n"/>
      <c r="L23" s="14" t="n"/>
      <c r="M23" s="14" t="n"/>
      <c r="N23" s="14" t="n"/>
      <c r="O23" s="4" t="n"/>
      <c r="P23" s="14" t="n"/>
      <c r="Q23" s="14" t="n"/>
      <c r="R23" s="14" t="n"/>
      <c r="S23" s="14" t="n"/>
      <c r="T23" s="14" t="n"/>
      <c r="U23" s="14" t="n"/>
      <c r="V23" s="14" t="n"/>
      <c r="W23" s="14" t="n"/>
      <c r="X23" s="14" t="n"/>
      <c r="Y23" s="14" t="n"/>
      <c r="Z23" s="14" t="n"/>
      <c r="AA23" s="14" t="n"/>
      <c r="AB23" s="14" t="n"/>
      <c r="AC23" s="14" t="n"/>
      <c r="AD23" s="14" t="n"/>
      <c r="AE23" s="14" t="n"/>
      <c r="AF23" s="14" t="n"/>
      <c r="AG23" s="14" t="n"/>
      <c r="AH23" s="14" t="n"/>
      <c r="AI23" s="14" t="n"/>
      <c r="AJ23" s="14" t="n"/>
      <c r="AK23" s="14" t="n"/>
      <c r="AL23" s="14" t="n"/>
      <c r="AM23" s="14" t="n"/>
      <c r="AN23" s="14" t="n"/>
      <c r="AO23" s="14" t="n"/>
      <c r="AP23" s="14" t="n"/>
      <c r="AQ23" s="14" t="n"/>
      <c r="AR23" s="14" t="n"/>
    </row>
    <row r="24">
      <c r="A24" s="14" t="n"/>
      <c r="B24" s="9" t="n"/>
      <c r="C24" s="14" t="n"/>
      <c r="D24" s="14" t="n"/>
      <c r="E24" s="14" t="n"/>
      <c r="F24" s="14" t="n"/>
      <c r="G24" s="14" t="n"/>
      <c r="H24" s="4" t="n"/>
      <c r="I24" s="9" t="n"/>
      <c r="J24" s="14" t="n"/>
      <c r="K24" s="14" t="n"/>
      <c r="L24" s="14" t="n"/>
      <c r="M24" s="14" t="n"/>
      <c r="N24" s="14" t="n"/>
      <c r="O24" s="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c r="AP24" s="14" t="n"/>
      <c r="AQ24" s="14" t="n"/>
      <c r="AR24" s="14" t="n"/>
    </row>
    <row r="25">
      <c r="A25" s="14" t="n"/>
      <c r="B25" s="9" t="n"/>
      <c r="C25" s="14" t="n"/>
      <c r="D25" s="14" t="n"/>
      <c r="E25" s="14" t="n"/>
      <c r="F25" s="14" t="n"/>
      <c r="G25" s="14" t="n"/>
      <c r="H25" s="4" t="n"/>
      <c r="I25" s="9" t="n"/>
      <c r="J25" s="14" t="n"/>
      <c r="K25" s="14" t="n"/>
      <c r="L25" s="14" t="n"/>
      <c r="M25" s="14" t="n"/>
      <c r="N25" s="14" t="n"/>
      <c r="O25" s="4" t="n"/>
      <c r="P25" s="14" t="n"/>
      <c r="Q25" s="14" t="n"/>
      <c r="R25" s="14" t="n"/>
      <c r="S25" s="14" t="n"/>
      <c r="T25" s="14" t="n"/>
      <c r="U25" s="14" t="n"/>
      <c r="V25" s="14" t="n"/>
      <c r="W25" s="14" t="n"/>
      <c r="X25" s="14" t="n"/>
      <c r="Y25" s="14" t="n"/>
      <c r="Z25" s="14" t="n"/>
      <c r="AA25" s="14" t="n"/>
      <c r="AB25" s="14" t="n"/>
      <c r="AC25" s="14" t="n"/>
      <c r="AD25" s="14" t="n"/>
      <c r="AE25" s="14" t="n"/>
      <c r="AF25" s="14" t="n"/>
      <c r="AG25" s="14" t="n"/>
      <c r="AH25" s="14" t="n"/>
      <c r="AI25" s="14" t="n"/>
      <c r="AJ25" s="14" t="n"/>
      <c r="AK25" s="14" t="n"/>
      <c r="AL25" s="14" t="n"/>
      <c r="AM25" s="14" t="n"/>
      <c r="AN25" s="14" t="n"/>
      <c r="AO25" s="14" t="n"/>
      <c r="AP25" s="14" t="n"/>
      <c r="AQ25" s="14" t="n"/>
      <c r="AR25" s="14" t="n"/>
    </row>
    <row r="26">
      <c r="A26" s="14" t="n"/>
      <c r="B26" s="9" t="n"/>
      <c r="C26" s="14" t="n"/>
      <c r="D26" s="14" t="n"/>
      <c r="E26" s="14" t="n"/>
      <c r="F26" s="14" t="n"/>
      <c r="G26" s="14" t="n"/>
      <c r="H26" s="4" t="n"/>
      <c r="I26" s="9" t="n"/>
      <c r="J26" s="14" t="n"/>
      <c r="K26" s="14" t="n"/>
      <c r="L26" s="14" t="n"/>
      <c r="M26" s="14" t="n"/>
      <c r="N26" s="14" t="n"/>
      <c r="O26" s="4" t="n"/>
      <c r="P26" s="14" t="n"/>
      <c r="Q26" s="14" t="n"/>
      <c r="R26" s="14" t="n"/>
      <c r="S26" s="14" t="n"/>
      <c r="T26" s="14" t="n"/>
      <c r="U26" s="14" t="n"/>
      <c r="V26" s="14" t="n"/>
      <c r="W26" s="14" t="n"/>
      <c r="X26" s="14" t="n"/>
      <c r="Y26" s="14" t="n"/>
      <c r="Z26" s="14" t="n"/>
      <c r="AA26" s="14" t="n"/>
      <c r="AB26" s="14" t="n"/>
      <c r="AC26" s="14" t="n"/>
      <c r="AD26" s="14" t="n"/>
      <c r="AE26" s="14" t="n"/>
      <c r="AF26" s="14" t="n"/>
      <c r="AG26" s="14" t="n"/>
      <c r="AH26" s="14" t="n"/>
      <c r="AI26" s="14" t="n"/>
      <c r="AJ26" s="14" t="n"/>
      <c r="AK26" s="14" t="n"/>
      <c r="AL26" s="14" t="n"/>
      <c r="AM26" s="14" t="n"/>
      <c r="AN26" s="14" t="n"/>
      <c r="AO26" s="14" t="n"/>
      <c r="AP26" s="14" t="n"/>
      <c r="AQ26" s="14" t="n"/>
      <c r="AR26" s="14" t="n"/>
    </row>
    <row r="27">
      <c r="A27" s="14" t="n"/>
      <c r="B27" s="9" t="n"/>
      <c r="C27" s="14" t="n"/>
      <c r="D27" s="14" t="n"/>
      <c r="E27" s="14" t="n"/>
      <c r="F27" s="14" t="n"/>
      <c r="G27" s="14" t="n"/>
      <c r="H27" s="4" t="n"/>
      <c r="I27" s="9" t="n"/>
      <c r="J27" s="14" t="n"/>
      <c r="K27" s="14" t="n"/>
      <c r="L27" s="14" t="n"/>
      <c r="M27" s="14" t="n"/>
      <c r="N27" s="14" t="n"/>
      <c r="O27" s="4" t="n"/>
      <c r="P27" s="14" t="n"/>
      <c r="Q27" s="14" t="n"/>
      <c r="R27" s="14" t="n"/>
      <c r="S27" s="14" t="n"/>
      <c r="T27" s="14" t="n"/>
      <c r="U27" s="14" t="n"/>
      <c r="V27" s="14" t="n"/>
      <c r="W27" s="14" t="n"/>
      <c r="X27" s="14" t="n"/>
      <c r="Y27" s="14" t="n"/>
      <c r="Z27" s="14" t="n"/>
      <c r="AA27" s="14" t="n"/>
      <c r="AB27" s="14" t="n"/>
      <c r="AC27" s="14" t="n"/>
      <c r="AD27" s="14" t="n"/>
      <c r="AE27" s="14" t="n"/>
      <c r="AF27" s="14" t="n"/>
      <c r="AG27" s="14" t="n"/>
      <c r="AH27" s="14" t="n"/>
      <c r="AI27" s="14" t="n"/>
      <c r="AJ27" s="14" t="n"/>
      <c r="AK27" s="14" t="n"/>
      <c r="AL27" s="14" t="n"/>
      <c r="AM27" s="14" t="n"/>
      <c r="AN27" s="14" t="n"/>
      <c r="AO27" s="14" t="n"/>
      <c r="AP27" s="14" t="n"/>
      <c r="AQ27" s="14" t="n"/>
      <c r="AR27" s="14" t="n"/>
    </row>
    <row r="28">
      <c r="A28" s="14" t="n"/>
      <c r="B28" s="9" t="n"/>
      <c r="C28" s="14" t="n"/>
      <c r="D28" s="14" t="n"/>
      <c r="E28" s="14" t="n"/>
      <c r="F28" s="14" t="n"/>
      <c r="G28" s="14" t="n"/>
      <c r="H28" s="4" t="n"/>
      <c r="I28" s="9" t="n"/>
      <c r="J28" s="14" t="n"/>
      <c r="K28" s="14" t="n"/>
      <c r="L28" s="14" t="n"/>
      <c r="M28" s="14" t="n"/>
      <c r="N28" s="14" t="n"/>
      <c r="O28" s="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c r="AR28" s="14" t="n"/>
    </row>
    <row r="29">
      <c r="A29" s="14" t="n"/>
      <c r="B29" s="9" t="n"/>
      <c r="C29" s="14" t="n"/>
      <c r="D29" s="14" t="n"/>
      <c r="E29" s="14" t="n"/>
      <c r="F29" s="14" t="n"/>
      <c r="G29" s="14" t="n"/>
      <c r="H29" s="4" t="n"/>
      <c r="I29" s="9" t="n"/>
      <c r="J29" s="14" t="n"/>
      <c r="K29" s="14" t="n"/>
      <c r="L29" s="14" t="n"/>
      <c r="M29" s="14" t="n"/>
      <c r="N29" s="14" t="n"/>
      <c r="O29" s="4" t="n"/>
      <c r="P29" s="14" t="n"/>
      <c r="Q29" s="14" t="n"/>
      <c r="R29" s="14" t="n"/>
      <c r="S29" s="14" t="n"/>
      <c r="T29" s="14" t="n"/>
      <c r="U29" s="14" t="n"/>
      <c r="V29" s="14" t="n"/>
      <c r="W29" s="14" t="n"/>
      <c r="X29" s="14" t="n"/>
      <c r="Y29" s="14" t="n"/>
      <c r="Z29" s="14" t="n"/>
      <c r="AA29" s="14" t="n"/>
      <c r="AB29" s="14" t="n"/>
      <c r="AC29" s="14" t="n"/>
      <c r="AD29" s="14" t="n"/>
      <c r="AE29" s="14" t="n"/>
      <c r="AF29" s="14" t="n"/>
      <c r="AG29" s="14" t="n"/>
      <c r="AH29" s="14" t="n"/>
      <c r="AI29" s="14" t="n"/>
      <c r="AJ29" s="14" t="n"/>
      <c r="AK29" s="14" t="n"/>
      <c r="AL29" s="14" t="n"/>
      <c r="AM29" s="14" t="n"/>
      <c r="AN29" s="14" t="n"/>
      <c r="AO29" s="14" t="n"/>
      <c r="AP29" s="14" t="n"/>
      <c r="AQ29" s="14" t="n"/>
      <c r="AR29" s="14" t="n"/>
    </row>
    <row r="30">
      <c r="A30" s="14" t="n"/>
      <c r="B30" s="9" t="n"/>
      <c r="C30" s="14" t="n"/>
      <c r="D30" s="14" t="n"/>
      <c r="E30" s="14" t="n"/>
      <c r="F30" s="14" t="n"/>
      <c r="G30" s="14" t="n"/>
      <c r="H30" s="4" t="n"/>
      <c r="I30" s="9" t="n"/>
      <c r="J30" s="14" t="n"/>
      <c r="K30" s="14" t="n"/>
      <c r="L30" s="14" t="n"/>
      <c r="M30" s="14" t="n"/>
      <c r="N30" s="14" t="n"/>
      <c r="O30" s="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c r="AR30" s="14" t="n"/>
    </row>
    <row r="31">
      <c r="A31" s="14" t="n"/>
      <c r="B31" s="9" t="n"/>
      <c r="C31" s="14" t="n"/>
      <c r="D31" s="14" t="n"/>
      <c r="E31" s="14" t="n"/>
      <c r="F31" s="14" t="n"/>
      <c r="G31" s="14" t="n"/>
      <c r="H31" s="4" t="n"/>
      <c r="I31" s="9" t="n"/>
      <c r="J31" s="14" t="n"/>
      <c r="K31" s="14" t="n"/>
      <c r="L31" s="14" t="n"/>
      <c r="M31" s="14" t="n"/>
      <c r="N31" s="14" t="n"/>
      <c r="O31" s="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row>
    <row r="32">
      <c r="A32" s="14" t="n"/>
      <c r="B32" s="9" t="n"/>
      <c r="C32" s="14" t="n"/>
      <c r="D32" s="14" t="n"/>
      <c r="E32" s="14" t="n"/>
      <c r="F32" s="14" t="n"/>
      <c r="G32" s="14" t="n"/>
      <c r="H32" s="4" t="n"/>
      <c r="I32" s="9" t="n"/>
      <c r="J32" s="14" t="n"/>
      <c r="K32" s="14" t="n"/>
      <c r="L32" s="14" t="n"/>
      <c r="M32" s="14" t="n"/>
      <c r="N32" s="14" t="n"/>
      <c r="O32" s="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row>
    <row r="33">
      <c r="A33" s="14" t="n"/>
      <c r="B33" s="9" t="n"/>
      <c r="C33" s="14" t="n"/>
      <c r="D33" s="14" t="n"/>
      <c r="E33" s="14" t="n"/>
      <c r="F33" s="14" t="n"/>
      <c r="G33" s="14" t="n"/>
      <c r="H33" s="4" t="n"/>
      <c r="I33" s="9" t="n"/>
      <c r="J33" s="14" t="n"/>
      <c r="K33" s="14" t="n"/>
      <c r="L33" s="14" t="n"/>
      <c r="M33" s="14" t="n"/>
      <c r="N33" s="14" t="n"/>
      <c r="O33" s="4" t="n"/>
      <c r="P33" s="14" t="n"/>
      <c r="Q33" s="14" t="n"/>
      <c r="R33" s="14" t="n"/>
      <c r="S33" s="14" t="n"/>
      <c r="T33" s="14" t="n"/>
      <c r="U33" s="14" t="n"/>
      <c r="V33" s="14" t="n"/>
      <c r="W33" s="14" t="n"/>
      <c r="X33" s="14" t="n"/>
      <c r="Y33" s="14" t="n"/>
      <c r="Z33" s="14" t="n"/>
      <c r="AA33" s="14" t="n"/>
      <c r="AB33" s="14" t="n"/>
      <c r="AC33" s="14" t="n"/>
      <c r="AD33" s="14" t="n"/>
      <c r="AE33" s="14" t="n"/>
      <c r="AF33" s="14" t="n"/>
      <c r="AG33" s="14" t="n"/>
      <c r="AH33" s="14" t="n"/>
      <c r="AI33" s="14" t="n"/>
      <c r="AJ33" s="14" t="n"/>
      <c r="AK33" s="14" t="n"/>
      <c r="AL33" s="14" t="n"/>
      <c r="AM33" s="14" t="n"/>
      <c r="AN33" s="14" t="n"/>
      <c r="AO33" s="14" t="n"/>
      <c r="AP33" s="14" t="n"/>
      <c r="AQ33" s="14" t="n"/>
      <c r="AR33" s="14" t="n"/>
    </row>
    <row r="34">
      <c r="A34" s="14" t="n"/>
      <c r="B34" s="9" t="n"/>
      <c r="C34" s="14" t="n"/>
      <c r="D34" s="14" t="n"/>
      <c r="E34" s="14" t="n"/>
      <c r="F34" s="14" t="n"/>
      <c r="G34" s="14" t="n"/>
      <c r="H34" s="4" t="n"/>
      <c r="I34" s="9" t="n"/>
      <c r="J34" s="14" t="n"/>
      <c r="K34" s="14" t="n"/>
      <c r="L34" s="14" t="n"/>
      <c r="M34" s="14" t="n"/>
      <c r="N34" s="14" t="n"/>
      <c r="O34" s="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row>
    <row r="35">
      <c r="A35" s="14" t="n"/>
      <c r="B35" s="9" t="n"/>
      <c r="C35" s="14" t="n"/>
      <c r="D35" s="14" t="n"/>
      <c r="E35" s="14" t="n"/>
      <c r="F35" s="14" t="n"/>
      <c r="G35" s="14" t="n"/>
      <c r="H35" s="4" t="n"/>
      <c r="I35" s="9" t="n"/>
      <c r="J35" s="14" t="n"/>
      <c r="K35" s="14" t="n"/>
      <c r="L35" s="14" t="n"/>
      <c r="M35" s="14" t="n"/>
      <c r="N35" s="14" t="n"/>
      <c r="O35" s="4" t="n"/>
      <c r="P35" s="14" t="n"/>
      <c r="Q35" s="14" t="n"/>
      <c r="R35" s="14" t="n"/>
      <c r="S35" s="14" t="n"/>
      <c r="T35" s="14" t="n"/>
      <c r="U35" s="14" t="n"/>
      <c r="V35" s="14" t="n"/>
      <c r="W35" s="14" t="n"/>
      <c r="X35" s="14" t="n"/>
      <c r="Y35" s="14" t="n"/>
      <c r="Z35" s="14" t="n"/>
      <c r="AA35" s="14" t="n"/>
      <c r="AB35" s="14" t="n"/>
      <c r="AC35" s="14" t="n"/>
      <c r="AD35" s="14" t="n"/>
      <c r="AE35" s="14" t="n"/>
      <c r="AF35" s="14" t="n"/>
      <c r="AG35" s="14" t="n"/>
      <c r="AH35" s="14" t="n"/>
      <c r="AI35" s="14" t="n"/>
      <c r="AJ35" s="14" t="n"/>
      <c r="AK35" s="14" t="n"/>
      <c r="AL35" s="14" t="n"/>
      <c r="AM35" s="14" t="n"/>
      <c r="AN35" s="14" t="n"/>
      <c r="AO35" s="14" t="n"/>
      <c r="AP35" s="14" t="n"/>
      <c r="AQ35" s="14" t="n"/>
      <c r="AR35" s="14" t="n"/>
    </row>
    <row r="36">
      <c r="A36" s="14" t="n"/>
      <c r="B36" s="9" t="n"/>
      <c r="C36" s="14" t="n"/>
      <c r="D36" s="14" t="n"/>
      <c r="E36" s="14" t="n"/>
      <c r="F36" s="14" t="n"/>
      <c r="G36" s="14" t="n"/>
      <c r="H36" s="4" t="n"/>
      <c r="I36" s="9" t="n"/>
      <c r="J36" s="14" t="n"/>
      <c r="K36" s="14" t="n"/>
      <c r="L36" s="14" t="n"/>
      <c r="M36" s="14" t="n"/>
      <c r="N36" s="14" t="n"/>
      <c r="O36" s="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4" t="n"/>
      <c r="AQ36" s="14" t="n"/>
      <c r="AR36" s="14" t="n"/>
    </row>
    <row r="37">
      <c r="A37" s="14" t="n"/>
      <c r="B37" s="9" t="n"/>
      <c r="C37" s="14" t="n"/>
      <c r="D37" s="14" t="n"/>
      <c r="E37" s="14" t="n"/>
      <c r="F37" s="14" t="n"/>
      <c r="G37" s="14" t="n"/>
      <c r="H37" s="4" t="n"/>
      <c r="I37" s="9" t="n"/>
      <c r="J37" s="14" t="n"/>
      <c r="K37" s="14" t="n"/>
      <c r="L37" s="14" t="n"/>
      <c r="M37" s="14" t="n"/>
      <c r="N37" s="14" t="n"/>
      <c r="O37" s="4" t="n"/>
      <c r="P37" s="14" t="n"/>
      <c r="Q37" s="14" t="n"/>
      <c r="R37" s="14" t="n"/>
      <c r="S37" s="14" t="n"/>
      <c r="T37" s="14" t="n"/>
      <c r="U37" s="14" t="n"/>
      <c r="V37" s="14" t="n"/>
      <c r="W37" s="14" t="n"/>
      <c r="X37" s="14" t="n"/>
      <c r="Y37" s="14" t="n"/>
      <c r="Z37" s="14" t="n"/>
      <c r="AA37" s="14" t="n"/>
      <c r="AB37" s="14" t="n"/>
      <c r="AC37" s="14" t="n"/>
      <c r="AD37" s="14" t="n"/>
      <c r="AE37" s="14" t="n"/>
      <c r="AF37" s="14" t="n"/>
      <c r="AG37" s="14" t="n"/>
      <c r="AH37" s="14" t="n"/>
      <c r="AI37" s="14" t="n"/>
      <c r="AJ37" s="14" t="n"/>
      <c r="AK37" s="14" t="n"/>
      <c r="AL37" s="14" t="n"/>
      <c r="AM37" s="14" t="n"/>
      <c r="AN37" s="14" t="n"/>
      <c r="AO37" s="14" t="n"/>
      <c r="AP37" s="14" t="n"/>
      <c r="AQ37" s="14" t="n"/>
      <c r="AR37" s="14" t="n"/>
    </row>
    <row r="38">
      <c r="A38" s="14" t="n"/>
      <c r="B38" s="9" t="n"/>
      <c r="C38" s="14" t="n"/>
      <c r="D38" s="14" t="n"/>
      <c r="E38" s="14" t="n"/>
      <c r="F38" s="14" t="n"/>
      <c r="G38" s="14" t="n"/>
      <c r="H38" s="4" t="n"/>
      <c r="I38" s="9" t="n"/>
      <c r="J38" s="14" t="n"/>
      <c r="K38" s="14" t="n"/>
      <c r="L38" s="14" t="n"/>
      <c r="M38" s="14" t="n"/>
      <c r="N38" s="14" t="n"/>
      <c r="O38" s="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c r="AP38" s="14" t="n"/>
      <c r="AQ38" s="14" t="n"/>
      <c r="AR38" s="14" t="n"/>
    </row>
    <row r="39">
      <c r="A39" s="14" t="n"/>
      <c r="B39" s="9" t="n"/>
      <c r="C39" s="14" t="n"/>
      <c r="D39" s="14" t="n"/>
      <c r="E39" s="14" t="n"/>
      <c r="F39" s="14" t="n"/>
      <c r="G39" s="14" t="n"/>
      <c r="H39" s="4" t="n"/>
      <c r="I39" s="9" t="n"/>
      <c r="J39" s="14" t="n"/>
      <c r="K39" s="14" t="n"/>
      <c r="L39" s="14" t="n"/>
      <c r="M39" s="14" t="n"/>
      <c r="N39" s="14" t="n"/>
      <c r="O39" s="4" t="n"/>
      <c r="P39" s="14" t="n"/>
      <c r="Q39" s="14" t="n"/>
      <c r="R39" s="14" t="n"/>
      <c r="S39" s="14" t="n"/>
      <c r="T39" s="14" t="n"/>
      <c r="U39" s="14" t="n"/>
      <c r="V39" s="14" t="n"/>
      <c r="W39" s="14" t="n"/>
      <c r="X39" s="14" t="n"/>
      <c r="Y39" s="14" t="n"/>
      <c r="Z39" s="14" t="n"/>
      <c r="AA39" s="14" t="n"/>
      <c r="AB39" s="14" t="n"/>
      <c r="AC39" s="14" t="n"/>
      <c r="AD39" s="14" t="n"/>
      <c r="AE39" s="14" t="n"/>
      <c r="AF39" s="14" t="n"/>
      <c r="AG39" s="14" t="n"/>
      <c r="AH39" s="14" t="n"/>
      <c r="AI39" s="14" t="n"/>
      <c r="AJ39" s="14" t="n"/>
      <c r="AK39" s="14" t="n"/>
      <c r="AL39" s="14" t="n"/>
      <c r="AM39" s="14" t="n"/>
      <c r="AN39" s="14" t="n"/>
      <c r="AO39" s="14" t="n"/>
      <c r="AP39" s="14" t="n"/>
      <c r="AQ39" s="14" t="n"/>
      <c r="AR39" s="14" t="n"/>
    </row>
    <row r="40">
      <c r="A40" s="14" t="n"/>
      <c r="B40" s="9" t="n"/>
      <c r="C40" s="14" t="n"/>
      <c r="D40" s="14" t="n"/>
      <c r="E40" s="14" t="n"/>
      <c r="F40" s="14" t="n"/>
      <c r="G40" s="14" t="n"/>
      <c r="H40" s="4" t="n"/>
      <c r="I40" s="9" t="n"/>
      <c r="J40" s="14" t="n"/>
      <c r="K40" s="14" t="n"/>
      <c r="L40" s="14" t="n"/>
      <c r="M40" s="14" t="n"/>
      <c r="N40" s="14" t="n"/>
      <c r="O40" s="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c r="AP40" s="14" t="n"/>
      <c r="AQ40" s="14" t="n"/>
      <c r="AR40" s="14" t="n"/>
    </row>
    <row r="41">
      <c r="A41" s="14" t="n"/>
      <c r="B41" s="9" t="n"/>
      <c r="C41" s="14" t="n"/>
      <c r="D41" s="14" t="n"/>
      <c r="E41" s="14" t="n"/>
      <c r="F41" s="14" t="n"/>
      <c r="G41" s="14" t="n"/>
      <c r="H41" s="4" t="n"/>
      <c r="I41" s="9" t="n"/>
      <c r="J41" s="14" t="n"/>
      <c r="K41" s="14" t="n"/>
      <c r="L41" s="14" t="n"/>
      <c r="M41" s="14" t="n"/>
      <c r="N41" s="14" t="n"/>
      <c r="O41" s="4" t="n"/>
      <c r="P41" s="14" t="n"/>
      <c r="Q41" s="14" t="n"/>
      <c r="R41" s="14" t="n"/>
      <c r="S41" s="14" t="n"/>
      <c r="T41" s="14" t="n"/>
      <c r="U41" s="14" t="n"/>
      <c r="V41" s="14" t="n"/>
      <c r="W41" s="14" t="n"/>
      <c r="X41" s="14" t="n"/>
      <c r="Y41" s="14" t="n"/>
      <c r="Z41" s="14" t="n"/>
      <c r="AA41" s="14" t="n"/>
      <c r="AB41" s="14" t="n"/>
      <c r="AC41" s="14" t="n"/>
      <c r="AD41" s="14" t="n"/>
      <c r="AE41" s="14" t="n"/>
      <c r="AF41" s="14" t="n"/>
      <c r="AG41" s="14" t="n"/>
      <c r="AH41" s="14" t="n"/>
      <c r="AI41" s="14" t="n"/>
      <c r="AJ41" s="14" t="n"/>
      <c r="AK41" s="14" t="n"/>
      <c r="AL41" s="14" t="n"/>
      <c r="AM41" s="14" t="n"/>
      <c r="AN41" s="14" t="n"/>
      <c r="AO41" s="14" t="n"/>
      <c r="AP41" s="14" t="n"/>
      <c r="AQ41" s="14" t="n"/>
      <c r="AR41" s="14" t="n"/>
    </row>
    <row r="42">
      <c r="A42" s="14" t="n"/>
      <c r="B42" s="9" t="n"/>
      <c r="C42" s="14" t="n"/>
      <c r="D42" s="14" t="n"/>
      <c r="E42" s="14" t="n"/>
      <c r="F42" s="14" t="n"/>
      <c r="G42" s="14" t="n"/>
      <c r="H42" s="4" t="n"/>
      <c r="I42" s="9" t="n"/>
      <c r="J42" s="14" t="n"/>
      <c r="K42" s="14" t="n"/>
      <c r="L42" s="14" t="n"/>
      <c r="M42" s="14" t="n"/>
      <c r="N42" s="14" t="n"/>
      <c r="O42" s="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c r="AP42" s="14" t="n"/>
      <c r="AQ42" s="14" t="n"/>
      <c r="AR42" s="14" t="n"/>
    </row>
    <row r="43">
      <c r="A43" s="14" t="n"/>
      <c r="B43" s="9" t="n"/>
      <c r="C43" s="14" t="n"/>
      <c r="D43" s="14" t="n"/>
      <c r="E43" s="14" t="n"/>
      <c r="F43" s="14" t="n"/>
      <c r="G43" s="14" t="n"/>
      <c r="H43" s="4" t="n"/>
      <c r="I43" s="9" t="n"/>
      <c r="J43" s="14" t="n"/>
      <c r="K43" s="14" t="n"/>
      <c r="L43" s="14" t="n"/>
      <c r="M43" s="14" t="n"/>
      <c r="N43" s="14" t="n"/>
      <c r="O43" s="4" t="n"/>
      <c r="P43" s="14" t="n"/>
      <c r="Q43" s="14" t="n"/>
      <c r="R43" s="14" t="n"/>
      <c r="S43" s="14" t="n"/>
      <c r="T43" s="14" t="n"/>
      <c r="U43" s="14" t="n"/>
      <c r="V43" s="14" t="n"/>
      <c r="W43" s="14" t="n"/>
      <c r="X43" s="14" t="n"/>
      <c r="Y43" s="14" t="n"/>
      <c r="Z43" s="14" t="n"/>
      <c r="AA43" s="14" t="n"/>
      <c r="AB43" s="14" t="n"/>
      <c r="AC43" s="14" t="n"/>
      <c r="AD43" s="14" t="n"/>
      <c r="AE43" s="14" t="n"/>
      <c r="AF43" s="14" t="n"/>
      <c r="AG43" s="14" t="n"/>
      <c r="AH43" s="14" t="n"/>
      <c r="AI43" s="14" t="n"/>
      <c r="AJ43" s="14" t="n"/>
      <c r="AK43" s="14" t="n"/>
      <c r="AL43" s="14" t="n"/>
      <c r="AM43" s="14" t="n"/>
      <c r="AN43" s="14" t="n"/>
      <c r="AO43" s="14" t="n"/>
      <c r="AP43" s="14" t="n"/>
      <c r="AQ43" s="14" t="n"/>
      <c r="AR43" s="14" t="n"/>
    </row>
    <row r="44">
      <c r="A44" s="14" t="n"/>
      <c r="B44" s="9" t="n"/>
      <c r="C44" s="14" t="n"/>
      <c r="D44" s="14" t="n"/>
      <c r="E44" s="14" t="n"/>
      <c r="F44" s="14" t="n"/>
      <c r="G44" s="14" t="n"/>
      <c r="H44" s="4" t="n"/>
      <c r="I44" s="9" t="n"/>
      <c r="J44" s="14" t="n"/>
      <c r="K44" s="14" t="n"/>
      <c r="L44" s="14" t="n"/>
      <c r="M44" s="14" t="n"/>
      <c r="N44" s="14" t="n"/>
      <c r="O44" s="4" t="n"/>
      <c r="P44" s="14" t="n"/>
      <c r="Q44" s="14" t="n"/>
      <c r="R44" s="14" t="n"/>
      <c r="S44" s="14" t="n"/>
      <c r="T44" s="14" t="n"/>
      <c r="U44" s="14" t="n"/>
      <c r="V44" s="14" t="n"/>
      <c r="W44" s="14" t="n"/>
      <c r="X44" s="14" t="n"/>
      <c r="Y44" s="14" t="n"/>
      <c r="Z44" s="14" t="n"/>
      <c r="AA44" s="14" t="n"/>
      <c r="AB44" s="14" t="n"/>
      <c r="AC44" s="14" t="n"/>
      <c r="AD44" s="14" t="n"/>
      <c r="AE44" s="14" t="n"/>
      <c r="AF44" s="14" t="n"/>
      <c r="AG44" s="14" t="n"/>
      <c r="AH44" s="14" t="n"/>
      <c r="AI44" s="14" t="n"/>
      <c r="AJ44" s="14" t="n"/>
      <c r="AK44" s="14" t="n"/>
      <c r="AL44" s="14" t="n"/>
      <c r="AM44" s="14" t="n"/>
      <c r="AN44" s="14" t="n"/>
      <c r="AO44" s="14" t="n"/>
      <c r="AP44" s="14" t="n"/>
      <c r="AQ44" s="14" t="n"/>
      <c r="AR44" s="14" t="n"/>
    </row>
    <row r="45">
      <c r="A45" s="14" t="n"/>
      <c r="B45" s="9" t="n"/>
      <c r="C45" s="14" t="n"/>
      <c r="D45" s="14" t="n"/>
      <c r="E45" s="14" t="n"/>
      <c r="F45" s="14" t="n"/>
      <c r="G45" s="14" t="n"/>
      <c r="H45" s="4" t="n"/>
      <c r="I45" s="9" t="n"/>
      <c r="J45" s="14" t="n"/>
      <c r="K45" s="14" t="n"/>
      <c r="L45" s="14" t="n"/>
      <c r="M45" s="14" t="n"/>
      <c r="N45" s="14" t="n"/>
      <c r="O45" s="4" t="n"/>
      <c r="P45" s="14" t="n"/>
      <c r="Q45" s="14" t="n"/>
      <c r="R45" s="14" t="n"/>
      <c r="S45" s="14" t="n"/>
      <c r="T45" s="14" t="n"/>
      <c r="U45" s="14" t="n"/>
      <c r="V45" s="14" t="n"/>
      <c r="W45" s="14" t="n"/>
      <c r="X45" s="14" t="n"/>
      <c r="Y45" s="14" t="n"/>
      <c r="Z45" s="14" t="n"/>
      <c r="AA45" s="14" t="n"/>
      <c r="AB45" s="14" t="n"/>
      <c r="AC45" s="14" t="n"/>
      <c r="AD45" s="14" t="n"/>
      <c r="AE45" s="14" t="n"/>
      <c r="AF45" s="14" t="n"/>
      <c r="AG45" s="14" t="n"/>
      <c r="AH45" s="14" t="n"/>
      <c r="AI45" s="14" t="n"/>
      <c r="AJ45" s="14" t="n"/>
      <c r="AK45" s="14" t="n"/>
      <c r="AL45" s="14" t="n"/>
      <c r="AM45" s="14" t="n"/>
      <c r="AN45" s="14" t="n"/>
      <c r="AO45" s="14" t="n"/>
      <c r="AP45" s="14" t="n"/>
      <c r="AQ45" s="14" t="n"/>
      <c r="AR45" s="14" t="n"/>
    </row>
    <row r="46">
      <c r="A46" s="14" t="n"/>
      <c r="B46" s="9" t="n"/>
      <c r="C46" s="14" t="n"/>
      <c r="D46" s="14" t="n"/>
      <c r="E46" s="14" t="n"/>
      <c r="F46" s="14" t="n"/>
      <c r="G46" s="14" t="n"/>
      <c r="H46" s="4" t="n"/>
      <c r="I46" s="9" t="n"/>
      <c r="J46" s="14" t="n"/>
      <c r="K46" s="14" t="n"/>
      <c r="L46" s="14" t="n"/>
      <c r="M46" s="14" t="n"/>
      <c r="N46" s="14" t="n"/>
      <c r="O46" s="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row>
    <row r="47">
      <c r="A47" s="14" t="n"/>
      <c r="B47" s="9" t="n"/>
      <c r="C47" s="14" t="n"/>
      <c r="D47" s="14" t="n"/>
      <c r="E47" s="14" t="n"/>
      <c r="F47" s="14" t="n"/>
      <c r="G47" s="14" t="n"/>
      <c r="H47" s="4" t="n"/>
      <c r="I47" s="9" t="n"/>
      <c r="J47" s="14" t="n"/>
      <c r="K47" s="14" t="n"/>
      <c r="L47" s="14" t="n"/>
      <c r="M47" s="14" t="n"/>
      <c r="N47" s="14" t="n"/>
      <c r="O47" s="4" t="n"/>
      <c r="P47" s="14" t="n"/>
      <c r="Q47" s="14" t="n"/>
      <c r="R47" s="14" t="n"/>
      <c r="S47" s="14" t="n"/>
      <c r="T47" s="14" t="n"/>
      <c r="U47" s="14" t="n"/>
      <c r="V47" s="14" t="n"/>
      <c r="W47" s="14" t="n"/>
      <c r="X47" s="14" t="n"/>
      <c r="Y47" s="14" t="n"/>
      <c r="Z47" s="14" t="n"/>
      <c r="AA47" s="14" t="n"/>
      <c r="AB47" s="14" t="n"/>
      <c r="AC47" s="14" t="n"/>
      <c r="AD47" s="14" t="n"/>
      <c r="AE47" s="14" t="n"/>
      <c r="AF47" s="14" t="n"/>
      <c r="AG47" s="14" t="n"/>
      <c r="AH47" s="14" t="n"/>
      <c r="AI47" s="14" t="n"/>
      <c r="AJ47" s="14" t="n"/>
      <c r="AK47" s="14" t="n"/>
      <c r="AL47" s="14" t="n"/>
      <c r="AM47" s="14" t="n"/>
      <c r="AN47" s="14" t="n"/>
      <c r="AO47" s="14" t="n"/>
      <c r="AP47" s="14" t="n"/>
      <c r="AQ47" s="14" t="n"/>
      <c r="AR47" s="14" t="n"/>
    </row>
    <row r="48">
      <c r="A48" s="14" t="n"/>
      <c r="B48" s="9" t="n"/>
      <c r="C48" s="14" t="n"/>
      <c r="D48" s="14" t="n"/>
      <c r="E48" s="14" t="n"/>
      <c r="F48" s="14" t="n"/>
      <c r="G48" s="14" t="n"/>
      <c r="H48" s="4" t="n"/>
      <c r="I48" s="9" t="n"/>
      <c r="J48" s="14" t="n"/>
      <c r="K48" s="14" t="n"/>
      <c r="L48" s="14" t="n"/>
      <c r="M48" s="14" t="n"/>
      <c r="N48" s="14" t="n"/>
      <c r="O48" s="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row>
    <row r="49">
      <c r="A49" s="14" t="n"/>
      <c r="B49" s="9" t="n"/>
      <c r="C49" s="14" t="n"/>
      <c r="D49" s="14" t="n"/>
      <c r="E49" s="14" t="n"/>
      <c r="F49" s="14" t="n"/>
      <c r="G49" s="14" t="n"/>
      <c r="H49" s="4" t="n"/>
      <c r="I49" s="9" t="n"/>
      <c r="J49" s="14" t="n"/>
      <c r="K49" s="14" t="n"/>
      <c r="L49" s="14" t="n"/>
      <c r="M49" s="14" t="n"/>
      <c r="N49" s="14" t="n"/>
      <c r="O49" s="4" t="n"/>
      <c r="P49" s="14" t="n"/>
      <c r="Q49" s="14" t="n"/>
      <c r="R49" s="14" t="n"/>
      <c r="S49" s="14" t="n"/>
      <c r="T49" s="14" t="n"/>
      <c r="U49" s="14" t="n"/>
      <c r="V49" s="14" t="n"/>
      <c r="W49" s="14" t="n"/>
      <c r="X49" s="14" t="n"/>
      <c r="Y49" s="14" t="n"/>
      <c r="Z49" s="14" t="n"/>
      <c r="AA49" s="14" t="n"/>
      <c r="AB49" s="14" t="n"/>
      <c r="AC49" s="14" t="n"/>
      <c r="AD49" s="14" t="n"/>
      <c r="AE49" s="14" t="n"/>
      <c r="AF49" s="14" t="n"/>
      <c r="AG49" s="14" t="n"/>
      <c r="AH49" s="14" t="n"/>
      <c r="AI49" s="14" t="n"/>
      <c r="AJ49" s="14" t="n"/>
      <c r="AK49" s="14" t="n"/>
      <c r="AL49" s="14" t="n"/>
      <c r="AM49" s="14" t="n"/>
      <c r="AN49" s="14" t="n"/>
      <c r="AO49" s="14" t="n"/>
      <c r="AP49" s="14" t="n"/>
      <c r="AQ49" s="14" t="n"/>
      <c r="AR49" s="14" t="n"/>
    </row>
    <row r="50">
      <c r="A50" s="14" t="n"/>
      <c r="B50" s="9" t="n"/>
      <c r="C50" s="14" t="n"/>
      <c r="D50" s="14" t="n"/>
      <c r="E50" s="14" t="n"/>
      <c r="F50" s="14" t="n"/>
      <c r="G50" s="14" t="n"/>
      <c r="H50" s="4" t="n"/>
      <c r="I50" s="9" t="n"/>
      <c r="J50" s="14" t="n"/>
      <c r="K50" s="14" t="n"/>
      <c r="L50" s="14" t="n"/>
      <c r="M50" s="14" t="n"/>
      <c r="N50" s="14" t="n"/>
      <c r="O50" s="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c r="AP50" s="14" t="n"/>
      <c r="AQ50" s="14" t="n"/>
      <c r="AR50" s="14" t="n"/>
    </row>
    <row r="51">
      <c r="A51" s="14" t="n"/>
      <c r="B51" s="9" t="n"/>
      <c r="C51" s="14" t="n"/>
      <c r="D51" s="14" t="n"/>
      <c r="E51" s="14" t="n"/>
      <c r="F51" s="14" t="n"/>
      <c r="G51" s="14" t="n"/>
      <c r="H51" s="4" t="n"/>
      <c r="I51" s="9" t="n"/>
      <c r="J51" s="14" t="n"/>
      <c r="K51" s="14" t="n"/>
      <c r="L51" s="14" t="n"/>
      <c r="M51" s="14" t="n"/>
      <c r="N51" s="14" t="n"/>
      <c r="O51" s="4" t="n"/>
      <c r="P51" s="14" t="n"/>
      <c r="Q51" s="14" t="n"/>
      <c r="R51" s="14" t="n"/>
      <c r="S51" s="14" t="n"/>
      <c r="T51" s="14" t="n"/>
      <c r="U51" s="14" t="n"/>
      <c r="V51" s="14" t="n"/>
      <c r="W51" s="14" t="n"/>
      <c r="X51" s="14" t="n"/>
      <c r="Y51" s="14" t="n"/>
      <c r="Z51" s="14" t="n"/>
      <c r="AA51" s="14" t="n"/>
      <c r="AB51" s="14" t="n"/>
      <c r="AC51" s="14" t="n"/>
      <c r="AD51" s="14" t="n"/>
      <c r="AE51" s="14" t="n"/>
      <c r="AF51" s="14" t="n"/>
      <c r="AG51" s="14" t="n"/>
      <c r="AH51" s="14" t="n"/>
      <c r="AI51" s="14" t="n"/>
      <c r="AJ51" s="14" t="n"/>
      <c r="AK51" s="14" t="n"/>
      <c r="AL51" s="14" t="n"/>
      <c r="AM51" s="14" t="n"/>
      <c r="AN51" s="14" t="n"/>
      <c r="AO51" s="14" t="n"/>
      <c r="AP51" s="14" t="n"/>
      <c r="AQ51" s="14" t="n"/>
      <c r="AR51" s="14" t="n"/>
    </row>
    <row r="52">
      <c r="A52" s="14" t="n"/>
      <c r="B52" s="9" t="n"/>
      <c r="C52" s="14" t="n"/>
      <c r="D52" s="14" t="n"/>
      <c r="E52" s="14" t="n"/>
      <c r="F52" s="14" t="n"/>
      <c r="G52" s="14" t="n"/>
      <c r="H52" s="4" t="n"/>
      <c r="I52" s="9" t="n"/>
      <c r="J52" s="14" t="n"/>
      <c r="K52" s="14" t="n"/>
      <c r="L52" s="14" t="n"/>
      <c r="M52" s="14" t="n"/>
      <c r="N52" s="14" t="n"/>
      <c r="O52" s="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c r="AR52" s="14" t="n"/>
    </row>
    <row r="53">
      <c r="A53" s="14" t="n"/>
      <c r="B53" s="9" t="n"/>
      <c r="C53" s="14" t="n"/>
      <c r="D53" s="14" t="n"/>
      <c r="E53" s="14" t="n"/>
      <c r="F53" s="14" t="n"/>
      <c r="G53" s="14" t="n"/>
      <c r="H53" s="4" t="n"/>
      <c r="I53" s="9" t="n"/>
      <c r="J53" s="14" t="n"/>
      <c r="K53" s="14" t="n"/>
      <c r="L53" s="14" t="n"/>
      <c r="M53" s="14" t="n"/>
      <c r="N53" s="14" t="n"/>
      <c r="O53" s="4" t="n"/>
      <c r="P53" s="14" t="n"/>
      <c r="Q53" s="14" t="n"/>
      <c r="R53" s="14" t="n"/>
      <c r="S53" s="14" t="n"/>
      <c r="T53" s="14" t="n"/>
      <c r="U53" s="14" t="n"/>
      <c r="V53" s="14" t="n"/>
      <c r="W53" s="14" t="n"/>
      <c r="X53" s="14" t="n"/>
      <c r="Y53" s="14" t="n"/>
      <c r="Z53" s="14" t="n"/>
      <c r="AA53" s="14" t="n"/>
      <c r="AB53" s="14" t="n"/>
      <c r="AC53" s="14" t="n"/>
      <c r="AD53" s="14" t="n"/>
      <c r="AE53" s="14" t="n"/>
      <c r="AF53" s="14" t="n"/>
      <c r="AG53" s="14" t="n"/>
      <c r="AH53" s="14" t="n"/>
      <c r="AI53" s="14" t="n"/>
      <c r="AJ53" s="14" t="n"/>
      <c r="AK53" s="14" t="n"/>
      <c r="AL53" s="14" t="n"/>
      <c r="AM53" s="14" t="n"/>
      <c r="AN53" s="14" t="n"/>
      <c r="AO53" s="14" t="n"/>
      <c r="AP53" s="14" t="n"/>
      <c r="AQ53" s="14" t="n"/>
      <c r="AR53" s="14" t="n"/>
    </row>
    <row r="54">
      <c r="A54" s="14" t="n"/>
      <c r="B54" s="9" t="n"/>
      <c r="C54" s="14" t="n"/>
      <c r="D54" s="14" t="n"/>
      <c r="E54" s="14" t="n"/>
      <c r="F54" s="14" t="n"/>
      <c r="G54" s="14" t="n"/>
      <c r="H54" s="4" t="n"/>
      <c r="I54" s="9" t="n"/>
      <c r="J54" s="14" t="n"/>
      <c r="K54" s="14" t="n"/>
      <c r="L54" s="14" t="n"/>
      <c r="M54" s="14" t="n"/>
      <c r="N54" s="14" t="n"/>
      <c r="O54" s="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c r="AP54" s="14" t="n"/>
      <c r="AQ54" s="14" t="n"/>
      <c r="AR54" s="14" t="n"/>
    </row>
    <row r="55">
      <c r="A55" s="14" t="n"/>
      <c r="B55" s="9" t="n"/>
      <c r="C55" s="14" t="n"/>
      <c r="D55" s="14" t="n"/>
      <c r="E55" s="14" t="n"/>
      <c r="F55" s="14" t="n"/>
      <c r="G55" s="14" t="n"/>
      <c r="H55" s="4" t="n"/>
      <c r="I55" s="9" t="n"/>
      <c r="J55" s="14" t="n"/>
      <c r="K55" s="14" t="n"/>
      <c r="L55" s="14" t="n"/>
      <c r="M55" s="14" t="n"/>
      <c r="N55" s="14" t="n"/>
      <c r="O55" s="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c r="AL55" s="14" t="n"/>
      <c r="AM55" s="14" t="n"/>
      <c r="AN55" s="14" t="n"/>
      <c r="AO55" s="14" t="n"/>
      <c r="AP55" s="14" t="n"/>
      <c r="AQ55" s="14" t="n"/>
      <c r="AR55" s="14" t="n"/>
    </row>
    <row r="56">
      <c r="A56" s="14" t="n"/>
      <c r="B56" s="9" t="n"/>
      <c r="C56" s="14" t="n"/>
      <c r="D56" s="14" t="n"/>
      <c r="E56" s="14" t="n"/>
      <c r="F56" s="14" t="n"/>
      <c r="G56" s="14" t="n"/>
      <c r="H56" s="4" t="n"/>
      <c r="I56" s="9" t="n"/>
      <c r="J56" s="14" t="n"/>
      <c r="K56" s="14" t="n"/>
      <c r="L56" s="14" t="n"/>
      <c r="M56" s="14" t="n"/>
      <c r="N56" s="14" t="n"/>
      <c r="O56" s="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c r="AP56" s="14" t="n"/>
      <c r="AQ56" s="14" t="n"/>
      <c r="AR56" s="14" t="n"/>
    </row>
    <row r="57">
      <c r="A57" s="14" t="n"/>
      <c r="B57" s="9" t="n"/>
      <c r="C57" s="14" t="n"/>
      <c r="D57" s="14" t="n"/>
      <c r="E57" s="14" t="n"/>
      <c r="F57" s="14" t="n"/>
      <c r="G57" s="14" t="n"/>
      <c r="H57" s="4" t="n"/>
      <c r="I57" s="9" t="n"/>
      <c r="J57" s="14" t="n"/>
      <c r="K57" s="14" t="n"/>
      <c r="L57" s="14" t="n"/>
      <c r="M57" s="14" t="n"/>
      <c r="N57" s="14" t="n"/>
      <c r="O57" s="4" t="n"/>
      <c r="P57" s="14" t="n"/>
      <c r="Q57" s="14" t="n"/>
      <c r="R57" s="14" t="n"/>
      <c r="S57" s="14" t="n"/>
      <c r="T57" s="14" t="n"/>
      <c r="U57" s="14" t="n"/>
      <c r="V57" s="14" t="n"/>
      <c r="W57" s="14" t="n"/>
      <c r="X57" s="14" t="n"/>
      <c r="Y57" s="14" t="n"/>
      <c r="Z57" s="14" t="n"/>
      <c r="AA57" s="14" t="n"/>
      <c r="AB57" s="14" t="n"/>
      <c r="AC57" s="14" t="n"/>
      <c r="AD57" s="14" t="n"/>
      <c r="AE57" s="14" t="n"/>
      <c r="AF57" s="14" t="n"/>
      <c r="AG57" s="14" t="n"/>
      <c r="AH57" s="14" t="n"/>
      <c r="AI57" s="14" t="n"/>
      <c r="AJ57" s="14" t="n"/>
      <c r="AK57" s="14" t="n"/>
      <c r="AL57" s="14" t="n"/>
      <c r="AM57" s="14" t="n"/>
      <c r="AN57" s="14" t="n"/>
      <c r="AO57" s="14" t="n"/>
      <c r="AP57" s="14" t="n"/>
      <c r="AQ57" s="14" t="n"/>
      <c r="AR57" s="14" t="n"/>
    </row>
    <row r="58">
      <c r="A58" s="14" t="n"/>
      <c r="B58" s="9" t="n"/>
      <c r="C58" s="14" t="n"/>
      <c r="D58" s="14" t="n"/>
      <c r="E58" s="14" t="n"/>
      <c r="F58" s="14" t="n"/>
      <c r="G58" s="14" t="n"/>
      <c r="H58" s="4" t="n"/>
      <c r="I58" s="9" t="n"/>
      <c r="J58" s="14" t="n"/>
      <c r="K58" s="14" t="n"/>
      <c r="L58" s="14" t="n"/>
      <c r="M58" s="14" t="n"/>
      <c r="N58" s="14" t="n"/>
      <c r="O58" s="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c r="AP58" s="14" t="n"/>
      <c r="AQ58" s="14" t="n"/>
      <c r="AR58" s="14" t="n"/>
    </row>
    <row r="59">
      <c r="A59" s="14" t="n"/>
      <c r="B59" s="9" t="n"/>
      <c r="C59" s="14" t="n"/>
      <c r="D59" s="14" t="n"/>
      <c r="E59" s="14" t="n"/>
      <c r="F59" s="14" t="n"/>
      <c r="G59" s="14" t="n"/>
      <c r="H59" s="4" t="n"/>
      <c r="I59" s="9" t="n"/>
      <c r="J59" s="14" t="n"/>
      <c r="K59" s="14" t="n"/>
      <c r="L59" s="14" t="n"/>
      <c r="M59" s="14" t="n"/>
      <c r="N59" s="14" t="n"/>
      <c r="O59" s="4" t="n"/>
      <c r="P59" s="14" t="n"/>
      <c r="Q59" s="14" t="n"/>
      <c r="R59" s="14" t="n"/>
      <c r="S59" s="14" t="n"/>
      <c r="T59" s="14" t="n"/>
      <c r="U59" s="14" t="n"/>
      <c r="V59" s="14" t="n"/>
      <c r="W59" s="14" t="n"/>
      <c r="X59" s="14" t="n"/>
      <c r="Y59" s="14" t="n"/>
      <c r="Z59" s="14" t="n"/>
      <c r="AA59" s="14" t="n"/>
      <c r="AB59" s="14" t="n"/>
      <c r="AC59" s="14" t="n"/>
      <c r="AD59" s="14" t="n"/>
      <c r="AE59" s="14" t="n"/>
      <c r="AF59" s="14" t="n"/>
      <c r="AG59" s="14" t="n"/>
      <c r="AH59" s="14" t="n"/>
      <c r="AI59" s="14" t="n"/>
      <c r="AJ59" s="14" t="n"/>
      <c r="AK59" s="14" t="n"/>
      <c r="AL59" s="14" t="n"/>
      <c r="AM59" s="14" t="n"/>
      <c r="AN59" s="14" t="n"/>
      <c r="AO59" s="14" t="n"/>
      <c r="AP59" s="14" t="n"/>
      <c r="AQ59" s="14" t="n"/>
      <c r="AR59" s="14" t="n"/>
    </row>
    <row r="60">
      <c r="A60" s="14" t="n"/>
      <c r="B60" s="9" t="n"/>
      <c r="C60" s="14" t="n"/>
      <c r="D60" s="14" t="n"/>
      <c r="E60" s="14" t="n"/>
      <c r="F60" s="14" t="n"/>
      <c r="G60" s="14" t="n"/>
      <c r="H60" s="4" t="n"/>
      <c r="I60" s="9" t="n"/>
      <c r="J60" s="14" t="n"/>
      <c r="K60" s="14" t="n"/>
      <c r="L60" s="14" t="n"/>
      <c r="M60" s="14" t="n"/>
      <c r="N60" s="14" t="n"/>
      <c r="O60" s="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c r="AP60" s="14" t="n"/>
      <c r="AQ60" s="14" t="n"/>
      <c r="AR60" s="14" t="n"/>
    </row>
    <row r="61">
      <c r="A61" s="14" t="n"/>
      <c r="B61" s="9" t="n"/>
      <c r="C61" s="14" t="n"/>
      <c r="D61" s="14" t="n"/>
      <c r="E61" s="14" t="n"/>
      <c r="F61" s="14" t="n"/>
      <c r="G61" s="14" t="n"/>
      <c r="H61" s="4" t="n"/>
      <c r="I61" s="9" t="n"/>
      <c r="J61" s="14" t="n"/>
      <c r="K61" s="14" t="n"/>
      <c r="L61" s="14" t="n"/>
      <c r="M61" s="14" t="n"/>
      <c r="N61" s="14" t="n"/>
      <c r="O61" s="4" t="n"/>
      <c r="P61" s="14" t="n"/>
      <c r="Q61" s="14" t="n"/>
      <c r="R61" s="14" t="n"/>
      <c r="S61" s="14" t="n"/>
      <c r="T61" s="14" t="n"/>
      <c r="U61" s="14" t="n"/>
      <c r="V61" s="14" t="n"/>
      <c r="W61" s="14" t="n"/>
      <c r="X61" s="14" t="n"/>
      <c r="Y61" s="14" t="n"/>
      <c r="Z61" s="14" t="n"/>
      <c r="AA61" s="14" t="n"/>
      <c r="AB61" s="14" t="n"/>
      <c r="AC61" s="14" t="n"/>
      <c r="AD61" s="14" t="n"/>
      <c r="AE61" s="14" t="n"/>
      <c r="AF61" s="14" t="n"/>
      <c r="AG61" s="14" t="n"/>
      <c r="AH61" s="14" t="n"/>
      <c r="AI61" s="14" t="n"/>
      <c r="AJ61" s="14" t="n"/>
      <c r="AK61" s="14" t="n"/>
      <c r="AL61" s="14" t="n"/>
      <c r="AM61" s="14" t="n"/>
      <c r="AN61" s="14" t="n"/>
      <c r="AO61" s="14" t="n"/>
      <c r="AP61" s="14" t="n"/>
      <c r="AQ61" s="14" t="n"/>
      <c r="AR61" s="14" t="n"/>
    </row>
    <row r="62">
      <c r="A62" s="14" t="n"/>
      <c r="B62" s="9" t="n"/>
      <c r="C62" s="14" t="n"/>
      <c r="D62" s="14" t="n"/>
      <c r="E62" s="14" t="n"/>
      <c r="F62" s="14" t="n"/>
      <c r="G62" s="14" t="n"/>
      <c r="H62" s="4" t="n"/>
      <c r="I62" s="9" t="n"/>
      <c r="J62" s="14" t="n"/>
      <c r="K62" s="14" t="n"/>
      <c r="L62" s="14" t="n"/>
      <c r="M62" s="14" t="n"/>
      <c r="N62" s="14" t="n"/>
      <c r="O62" s="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c r="AP62" s="14" t="n"/>
      <c r="AQ62" s="14" t="n"/>
      <c r="AR62" s="14" t="n"/>
    </row>
    <row r="63">
      <c r="A63" s="14" t="n"/>
      <c r="B63" s="9" t="n"/>
      <c r="C63" s="14" t="n"/>
      <c r="D63" s="14" t="n"/>
      <c r="E63" s="14" t="n"/>
      <c r="F63" s="14" t="n"/>
      <c r="G63" s="14" t="n"/>
      <c r="H63" s="4" t="n"/>
      <c r="I63" s="9" t="n"/>
      <c r="J63" s="14" t="n"/>
      <c r="K63" s="14" t="n"/>
      <c r="L63" s="14" t="n"/>
      <c r="M63" s="14" t="n"/>
      <c r="N63" s="14" t="n"/>
      <c r="O63" s="4" t="n"/>
      <c r="P63" s="14" t="n"/>
      <c r="Q63" s="14" t="n"/>
      <c r="R63" s="14" t="n"/>
      <c r="S63" s="14" t="n"/>
      <c r="T63" s="14" t="n"/>
      <c r="U63" s="14" t="n"/>
      <c r="V63" s="14" t="n"/>
      <c r="W63" s="14" t="n"/>
      <c r="X63" s="14" t="n"/>
      <c r="Y63" s="14" t="n"/>
      <c r="Z63" s="14" t="n"/>
      <c r="AA63" s="14" t="n"/>
      <c r="AB63" s="14" t="n"/>
      <c r="AC63" s="14" t="n"/>
      <c r="AD63" s="14" t="n"/>
      <c r="AE63" s="14" t="n"/>
      <c r="AF63" s="14" t="n"/>
      <c r="AG63" s="14" t="n"/>
      <c r="AH63" s="14" t="n"/>
      <c r="AI63" s="14" t="n"/>
      <c r="AJ63" s="14" t="n"/>
      <c r="AK63" s="14" t="n"/>
      <c r="AL63" s="14" t="n"/>
      <c r="AM63" s="14" t="n"/>
      <c r="AN63" s="14" t="n"/>
      <c r="AO63" s="14" t="n"/>
      <c r="AP63" s="14" t="n"/>
      <c r="AQ63" s="14" t="n"/>
      <c r="AR63" s="14" t="n"/>
    </row>
    <row r="64">
      <c r="A64" s="14" t="n"/>
      <c r="B64" s="9" t="n"/>
      <c r="C64" s="14" t="n"/>
      <c r="D64" s="14" t="n"/>
      <c r="E64" s="14" t="n"/>
      <c r="F64" s="14" t="n"/>
      <c r="G64" s="14" t="n"/>
      <c r="H64" s="4" t="n"/>
      <c r="I64" s="9" t="n"/>
      <c r="J64" s="14" t="n"/>
      <c r="K64" s="14" t="n"/>
      <c r="L64" s="14" t="n"/>
      <c r="M64" s="14" t="n"/>
      <c r="N64" s="14" t="n"/>
      <c r="O64" s="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c r="AP64" s="14" t="n"/>
      <c r="AQ64" s="14" t="n"/>
      <c r="AR64" s="14" t="n"/>
    </row>
    <row r="65">
      <c r="A65" s="14" t="n"/>
      <c r="B65" s="9" t="n"/>
      <c r="C65" s="14" t="n"/>
      <c r="D65" s="14" t="n"/>
      <c r="E65" s="14" t="n"/>
      <c r="F65" s="14" t="n"/>
      <c r="G65" s="14" t="n"/>
      <c r="H65" s="4" t="n"/>
      <c r="I65" s="9" t="n"/>
      <c r="J65" s="14" t="n"/>
      <c r="K65" s="14" t="n"/>
      <c r="L65" s="14" t="n"/>
      <c r="M65" s="14" t="n"/>
      <c r="N65" s="14" t="n"/>
      <c r="O65" s="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c r="AP65" s="14" t="n"/>
      <c r="AQ65" s="14" t="n"/>
      <c r="AR65" s="14" t="n"/>
    </row>
    <row r="66">
      <c r="A66" s="14" t="n"/>
      <c r="B66" s="9" t="n"/>
      <c r="C66" s="14" t="n"/>
      <c r="D66" s="14" t="n"/>
      <c r="E66" s="14" t="n"/>
      <c r="F66" s="14" t="n"/>
      <c r="G66" s="14" t="n"/>
      <c r="H66" s="4" t="n"/>
      <c r="I66" s="9" t="n"/>
      <c r="J66" s="14" t="n"/>
      <c r="K66" s="14" t="n"/>
      <c r="L66" s="14" t="n"/>
      <c r="M66" s="14" t="n"/>
      <c r="N66" s="14" t="n"/>
      <c r="O66" s="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c r="AP66" s="14" t="n"/>
      <c r="AQ66" s="14" t="n"/>
      <c r="AR66" s="14" t="n"/>
    </row>
    <row r="67">
      <c r="A67" s="14" t="n"/>
      <c r="B67" s="9" t="n"/>
      <c r="C67" s="14" t="n"/>
      <c r="D67" s="14" t="n"/>
      <c r="E67" s="14" t="n"/>
      <c r="F67" s="14" t="n"/>
      <c r="G67" s="14" t="n"/>
      <c r="H67" s="4" t="n"/>
      <c r="I67" s="9" t="n"/>
      <c r="J67" s="14" t="n"/>
      <c r="K67" s="14" t="n"/>
      <c r="L67" s="14" t="n"/>
      <c r="M67" s="14" t="n"/>
      <c r="N67" s="14" t="n"/>
      <c r="O67" s="4" t="n"/>
      <c r="P67" s="14" t="n"/>
      <c r="Q67" s="14" t="n"/>
      <c r="R67" s="14" t="n"/>
      <c r="S67" s="14" t="n"/>
      <c r="T67" s="14" t="n"/>
      <c r="U67" s="14" t="n"/>
      <c r="V67" s="14" t="n"/>
      <c r="W67" s="14" t="n"/>
      <c r="X67" s="14" t="n"/>
      <c r="Y67" s="14" t="n"/>
      <c r="Z67" s="14" t="n"/>
      <c r="AA67" s="14" t="n"/>
      <c r="AB67" s="14" t="n"/>
      <c r="AC67" s="14" t="n"/>
      <c r="AD67" s="14" t="n"/>
      <c r="AE67" s="14" t="n"/>
      <c r="AF67" s="14" t="n"/>
      <c r="AG67" s="14" t="n"/>
      <c r="AH67" s="14" t="n"/>
      <c r="AI67" s="14" t="n"/>
      <c r="AJ67" s="14" t="n"/>
      <c r="AK67" s="14" t="n"/>
      <c r="AL67" s="14" t="n"/>
      <c r="AM67" s="14" t="n"/>
      <c r="AN67" s="14" t="n"/>
      <c r="AO67" s="14" t="n"/>
      <c r="AP67" s="14" t="n"/>
      <c r="AQ67" s="14" t="n"/>
      <c r="AR67" s="14" t="n"/>
    </row>
    <row r="68">
      <c r="A68" s="14" t="n"/>
      <c r="B68" s="9" t="n"/>
      <c r="C68" s="14" t="n"/>
      <c r="D68" s="14" t="n"/>
      <c r="E68" s="14" t="n"/>
      <c r="F68" s="14" t="n"/>
      <c r="G68" s="14" t="n"/>
      <c r="H68" s="4" t="n"/>
      <c r="I68" s="9" t="n"/>
      <c r="J68" s="14" t="n"/>
      <c r="K68" s="14" t="n"/>
      <c r="L68" s="14" t="n"/>
      <c r="M68" s="14" t="n"/>
      <c r="N68" s="14" t="n"/>
      <c r="O68" s="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c r="AP68" s="14" t="n"/>
      <c r="AQ68" s="14" t="n"/>
      <c r="AR68" s="14" t="n"/>
    </row>
    <row r="69">
      <c r="A69" s="14" t="n"/>
      <c r="B69" s="9" t="n"/>
      <c r="C69" s="14" t="n"/>
      <c r="D69" s="14" t="n"/>
      <c r="E69" s="14" t="n"/>
      <c r="F69" s="14" t="n"/>
      <c r="G69" s="14" t="n"/>
      <c r="H69" s="4" t="n"/>
      <c r="I69" s="9" t="n"/>
      <c r="J69" s="14" t="n"/>
      <c r="K69" s="14" t="n"/>
      <c r="L69" s="14" t="n"/>
      <c r="M69" s="14" t="n"/>
      <c r="N69" s="14" t="n"/>
      <c r="O69" s="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c r="AP69" s="14" t="n"/>
      <c r="AQ69" s="14" t="n"/>
      <c r="AR69" s="14" t="n"/>
    </row>
    <row r="70">
      <c r="A70" s="14" t="n"/>
      <c r="B70" s="9" t="n"/>
      <c r="C70" s="14" t="n"/>
      <c r="D70" s="14" t="n"/>
      <c r="E70" s="14" t="n"/>
      <c r="F70" s="14" t="n"/>
      <c r="G70" s="14" t="n"/>
      <c r="H70" s="4" t="n"/>
      <c r="I70" s="9" t="n"/>
      <c r="J70" s="14" t="n"/>
      <c r="K70" s="14" t="n"/>
      <c r="L70" s="14" t="n"/>
      <c r="M70" s="14" t="n"/>
      <c r="N70" s="14" t="n"/>
      <c r="O70" s="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c r="AP70" s="14" t="n"/>
      <c r="AQ70" s="14" t="n"/>
      <c r="AR70" s="14" t="n"/>
    </row>
    <row r="71">
      <c r="A71" s="14" t="n"/>
      <c r="B71" s="9" t="n"/>
      <c r="C71" s="14" t="n"/>
      <c r="D71" s="14" t="n"/>
      <c r="E71" s="14" t="n"/>
      <c r="F71" s="14" t="n"/>
      <c r="G71" s="14" t="n"/>
      <c r="H71" s="4" t="n"/>
      <c r="I71" s="9" t="n"/>
      <c r="J71" s="14" t="n"/>
      <c r="K71" s="14" t="n"/>
      <c r="L71" s="14" t="n"/>
      <c r="M71" s="14" t="n"/>
      <c r="N71" s="14" t="n"/>
      <c r="O71" s="4" t="n"/>
      <c r="P71" s="14" t="n"/>
      <c r="Q71" s="14" t="n"/>
      <c r="R71" s="14" t="n"/>
      <c r="S71" s="14" t="n"/>
      <c r="T71" s="14" t="n"/>
      <c r="U71" s="14" t="n"/>
      <c r="V71" s="14" t="n"/>
      <c r="W71" s="14" t="n"/>
      <c r="X71" s="14" t="n"/>
      <c r="Y71" s="14" t="n"/>
      <c r="Z71" s="14" t="n"/>
      <c r="AA71" s="14" t="n"/>
      <c r="AB71" s="14" t="n"/>
      <c r="AC71" s="14" t="n"/>
      <c r="AD71" s="14" t="n"/>
      <c r="AE71" s="14" t="n"/>
      <c r="AF71" s="14" t="n"/>
      <c r="AG71" s="14" t="n"/>
      <c r="AH71" s="14" t="n"/>
      <c r="AI71" s="14" t="n"/>
      <c r="AJ71" s="14" t="n"/>
      <c r="AK71" s="14" t="n"/>
      <c r="AL71" s="14" t="n"/>
      <c r="AM71" s="14" t="n"/>
      <c r="AN71" s="14" t="n"/>
      <c r="AO71" s="14" t="n"/>
      <c r="AP71" s="14" t="n"/>
      <c r="AQ71" s="14" t="n"/>
      <c r="AR71" s="14" t="n"/>
    </row>
    <row r="72">
      <c r="A72" s="14" t="n"/>
      <c r="B72" s="9" t="n"/>
      <c r="C72" s="14" t="n"/>
      <c r="D72" s="14" t="n"/>
      <c r="E72" s="14" t="n"/>
      <c r="F72" s="14" t="n"/>
      <c r="G72" s="14" t="n"/>
      <c r="H72" s="4" t="n"/>
      <c r="I72" s="9" t="n"/>
      <c r="J72" s="14" t="n"/>
      <c r="K72" s="14" t="n"/>
      <c r="L72" s="14" t="n"/>
      <c r="M72" s="14" t="n"/>
      <c r="N72" s="14" t="n"/>
      <c r="O72" s="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c r="AP72" s="14" t="n"/>
      <c r="AQ72" s="14" t="n"/>
      <c r="AR72" s="14" t="n"/>
    </row>
    <row r="73">
      <c r="A73" s="14" t="n"/>
      <c r="B73" s="9" t="n"/>
      <c r="C73" s="14" t="n"/>
      <c r="D73" s="14" t="n"/>
      <c r="E73" s="14" t="n"/>
      <c r="F73" s="14" t="n"/>
      <c r="G73" s="14" t="n"/>
      <c r="H73" s="4" t="n"/>
      <c r="I73" s="9" t="n"/>
      <c r="J73" s="14" t="n"/>
      <c r="K73" s="14" t="n"/>
      <c r="L73" s="14" t="n"/>
      <c r="M73" s="14" t="n"/>
      <c r="N73" s="14" t="n"/>
      <c r="O73" s="4" t="n"/>
      <c r="P73" s="14" t="n"/>
      <c r="Q73" s="14" t="n"/>
      <c r="R73" s="14" t="n"/>
      <c r="S73" s="14" t="n"/>
      <c r="T73" s="14" t="n"/>
      <c r="U73" s="14" t="n"/>
      <c r="V73" s="14" t="n"/>
      <c r="W73" s="14" t="n"/>
      <c r="X73" s="14" t="n"/>
      <c r="Y73" s="14" t="n"/>
      <c r="Z73" s="14" t="n"/>
      <c r="AA73" s="14" t="n"/>
      <c r="AB73" s="14" t="n"/>
      <c r="AC73" s="14" t="n"/>
      <c r="AD73" s="14" t="n"/>
      <c r="AE73" s="14" t="n"/>
      <c r="AF73" s="14" t="n"/>
      <c r="AG73" s="14" t="n"/>
      <c r="AH73" s="14" t="n"/>
      <c r="AI73" s="14" t="n"/>
      <c r="AJ73" s="14" t="n"/>
      <c r="AK73" s="14" t="n"/>
      <c r="AL73" s="14" t="n"/>
      <c r="AM73" s="14" t="n"/>
      <c r="AN73" s="14" t="n"/>
      <c r="AO73" s="14" t="n"/>
      <c r="AP73" s="14" t="n"/>
      <c r="AQ73" s="14" t="n"/>
      <c r="AR73" s="14" t="n"/>
    </row>
    <row r="74">
      <c r="A74" s="14" t="n"/>
      <c r="B74" s="9" t="n"/>
      <c r="C74" s="14" t="n"/>
      <c r="D74" s="14" t="n"/>
      <c r="E74" s="14" t="n"/>
      <c r="F74" s="14" t="n"/>
      <c r="G74" s="14" t="n"/>
      <c r="H74" s="4" t="n"/>
      <c r="I74" s="9" t="n"/>
      <c r="J74" s="14" t="n"/>
      <c r="K74" s="14" t="n"/>
      <c r="L74" s="14" t="n"/>
      <c r="M74" s="14" t="n"/>
      <c r="N74" s="14" t="n"/>
      <c r="O74" s="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c r="AP74" s="14" t="n"/>
      <c r="AQ74" s="14" t="n"/>
      <c r="AR74" s="14" t="n"/>
    </row>
    <row r="75">
      <c r="A75" s="14" t="n"/>
      <c r="B75" s="9" t="n"/>
      <c r="C75" s="14" t="n"/>
      <c r="D75" s="14" t="n"/>
      <c r="E75" s="14" t="n"/>
      <c r="F75" s="14" t="n"/>
      <c r="G75" s="14" t="n"/>
      <c r="H75" s="4" t="n"/>
      <c r="I75" s="9" t="n"/>
      <c r="J75" s="14" t="n"/>
      <c r="K75" s="14" t="n"/>
      <c r="L75" s="14" t="n"/>
      <c r="M75" s="14" t="n"/>
      <c r="N75" s="14" t="n"/>
      <c r="O75" s="4" t="n"/>
      <c r="P75" s="14" t="n"/>
      <c r="Q75" s="14" t="n"/>
      <c r="R75" s="14" t="n"/>
      <c r="S75" s="14" t="n"/>
      <c r="T75" s="14" t="n"/>
      <c r="U75" s="14" t="n"/>
      <c r="V75" s="14" t="n"/>
      <c r="W75" s="14" t="n"/>
      <c r="X75" s="14" t="n"/>
      <c r="Y75" s="14" t="n"/>
      <c r="Z75" s="14" t="n"/>
      <c r="AA75" s="14" t="n"/>
      <c r="AB75" s="14" t="n"/>
      <c r="AC75" s="14" t="n"/>
      <c r="AD75" s="14" t="n"/>
      <c r="AE75" s="14" t="n"/>
      <c r="AF75" s="14" t="n"/>
      <c r="AG75" s="14" t="n"/>
      <c r="AH75" s="14" t="n"/>
      <c r="AI75" s="14" t="n"/>
      <c r="AJ75" s="14" t="n"/>
      <c r="AK75" s="14" t="n"/>
      <c r="AL75" s="14" t="n"/>
      <c r="AM75" s="14" t="n"/>
      <c r="AN75" s="14" t="n"/>
      <c r="AO75" s="14" t="n"/>
      <c r="AP75" s="14" t="n"/>
      <c r="AQ75" s="14" t="n"/>
      <c r="AR75" s="14" t="n"/>
    </row>
    <row r="76">
      <c r="A76" s="14" t="n"/>
      <c r="B76" s="9" t="n"/>
      <c r="C76" s="14" t="n"/>
      <c r="D76" s="14" t="n"/>
      <c r="E76" s="14" t="n"/>
      <c r="F76" s="14" t="n"/>
      <c r="G76" s="14" t="n"/>
      <c r="H76" s="4" t="n"/>
      <c r="I76" s="9" t="n"/>
      <c r="J76" s="14" t="n"/>
      <c r="K76" s="14" t="n"/>
      <c r="L76" s="14" t="n"/>
      <c r="M76" s="14" t="n"/>
      <c r="N76" s="14" t="n"/>
      <c r="O76" s="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c r="AP76" s="14" t="n"/>
      <c r="AQ76" s="14" t="n"/>
      <c r="AR76" s="14" t="n"/>
    </row>
    <row r="77">
      <c r="A77" s="14" t="n"/>
      <c r="B77" s="9" t="n"/>
      <c r="C77" s="14" t="n"/>
      <c r="D77" s="14" t="n"/>
      <c r="E77" s="14" t="n"/>
      <c r="F77" s="14" t="n"/>
      <c r="G77" s="14" t="n"/>
      <c r="H77" s="4" t="n"/>
      <c r="I77" s="9" t="n"/>
      <c r="J77" s="14" t="n"/>
      <c r="K77" s="14" t="n"/>
      <c r="L77" s="14" t="n"/>
      <c r="M77" s="14" t="n"/>
      <c r="N77" s="14" t="n"/>
      <c r="O77" s="4" t="n"/>
      <c r="P77" s="14" t="n"/>
      <c r="Q77" s="14" t="n"/>
      <c r="R77" s="14" t="n"/>
      <c r="S77" s="14" t="n"/>
      <c r="T77" s="14" t="n"/>
      <c r="U77" s="14" t="n"/>
      <c r="V77" s="14" t="n"/>
      <c r="W77" s="14" t="n"/>
      <c r="X77" s="14" t="n"/>
      <c r="Y77" s="14" t="n"/>
      <c r="Z77" s="14" t="n"/>
      <c r="AA77" s="14" t="n"/>
      <c r="AB77" s="14" t="n"/>
      <c r="AC77" s="14" t="n"/>
      <c r="AD77" s="14" t="n"/>
      <c r="AE77" s="14" t="n"/>
      <c r="AF77" s="14" t="n"/>
      <c r="AG77" s="14" t="n"/>
      <c r="AH77" s="14" t="n"/>
      <c r="AI77" s="14" t="n"/>
      <c r="AJ77" s="14" t="n"/>
      <c r="AK77" s="14" t="n"/>
      <c r="AL77" s="14" t="n"/>
      <c r="AM77" s="14" t="n"/>
      <c r="AN77" s="14" t="n"/>
      <c r="AO77" s="14" t="n"/>
      <c r="AP77" s="14" t="n"/>
      <c r="AQ77" s="14" t="n"/>
      <c r="AR77" s="14" t="n"/>
    </row>
    <row r="78">
      <c r="A78" s="14" t="n"/>
      <c r="B78" s="9" t="n"/>
      <c r="C78" s="14" t="n"/>
      <c r="D78" s="14" t="n"/>
      <c r="E78" s="14" t="n"/>
      <c r="F78" s="14" t="n"/>
      <c r="G78" s="14" t="n"/>
      <c r="H78" s="4" t="n"/>
      <c r="I78" s="9" t="n"/>
      <c r="J78" s="14" t="n"/>
      <c r="K78" s="14" t="n"/>
      <c r="L78" s="14" t="n"/>
      <c r="M78" s="14" t="n"/>
      <c r="N78" s="14" t="n"/>
      <c r="O78" s="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c r="AP78" s="14" t="n"/>
      <c r="AQ78" s="14" t="n"/>
      <c r="AR78" s="14" t="n"/>
    </row>
    <row r="79">
      <c r="A79" s="14" t="n"/>
      <c r="B79" s="9" t="n"/>
      <c r="C79" s="14" t="n"/>
      <c r="D79" s="14" t="n"/>
      <c r="E79" s="14" t="n"/>
      <c r="F79" s="14" t="n"/>
      <c r="G79" s="14" t="n"/>
      <c r="H79" s="4" t="n"/>
      <c r="I79" s="9" t="n"/>
      <c r="J79" s="14" t="n"/>
      <c r="K79" s="14" t="n"/>
      <c r="L79" s="14" t="n"/>
      <c r="M79" s="14" t="n"/>
      <c r="N79" s="14" t="n"/>
      <c r="O79" s="4" t="n"/>
      <c r="P79" s="14" t="n"/>
      <c r="Q79" s="14" t="n"/>
      <c r="R79" s="14" t="n"/>
      <c r="S79" s="14" t="n"/>
      <c r="T79" s="14" t="n"/>
      <c r="U79" s="14" t="n"/>
      <c r="V79" s="14" t="n"/>
      <c r="W79" s="14" t="n"/>
      <c r="X79" s="14" t="n"/>
      <c r="Y79" s="14" t="n"/>
      <c r="Z79" s="14" t="n"/>
      <c r="AA79" s="14" t="n"/>
      <c r="AB79" s="14" t="n"/>
      <c r="AC79" s="14" t="n"/>
      <c r="AD79" s="14" t="n"/>
      <c r="AE79" s="14" t="n"/>
      <c r="AF79" s="14" t="n"/>
      <c r="AG79" s="14" t="n"/>
      <c r="AH79" s="14" t="n"/>
      <c r="AI79" s="14" t="n"/>
      <c r="AJ79" s="14" t="n"/>
      <c r="AK79" s="14" t="n"/>
      <c r="AL79" s="14" t="n"/>
      <c r="AM79" s="14" t="n"/>
      <c r="AN79" s="14" t="n"/>
      <c r="AO79" s="14" t="n"/>
      <c r="AP79" s="14" t="n"/>
      <c r="AQ79" s="14" t="n"/>
      <c r="AR79" s="14" t="n"/>
    </row>
    <row r="80">
      <c r="A80" s="14" t="n"/>
      <c r="B80" s="9" t="n"/>
      <c r="C80" s="14" t="n"/>
      <c r="D80" s="14" t="n"/>
      <c r="E80" s="14" t="n"/>
      <c r="F80" s="14" t="n"/>
      <c r="G80" s="14" t="n"/>
      <c r="H80" s="4" t="n"/>
      <c r="I80" s="9" t="n"/>
      <c r="J80" s="14" t="n"/>
      <c r="K80" s="14" t="n"/>
      <c r="L80" s="14" t="n"/>
      <c r="M80" s="14" t="n"/>
      <c r="N80" s="14" t="n"/>
      <c r="O80" s="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c r="AP80" s="14" t="n"/>
      <c r="AQ80" s="14" t="n"/>
      <c r="AR80" s="14" t="n"/>
    </row>
    <row r="81">
      <c r="A81" s="14" t="n"/>
      <c r="B81" s="9" t="n"/>
      <c r="C81" s="14" t="n"/>
      <c r="D81" s="14" t="n"/>
      <c r="E81" s="14" t="n"/>
      <c r="F81" s="14" t="n"/>
      <c r="G81" s="14" t="n"/>
      <c r="H81" s="4" t="n"/>
      <c r="I81" s="9" t="n"/>
      <c r="J81" s="14" t="n"/>
      <c r="K81" s="14" t="n"/>
      <c r="L81" s="14" t="n"/>
      <c r="M81" s="14" t="n"/>
      <c r="N81" s="14" t="n"/>
      <c r="O81" s="4" t="n"/>
      <c r="P81" s="14" t="n"/>
      <c r="Q81" s="14" t="n"/>
      <c r="R81" s="14" t="n"/>
      <c r="S81" s="14" t="n"/>
      <c r="T81" s="14" t="n"/>
      <c r="U81" s="14" t="n"/>
      <c r="V81" s="14" t="n"/>
      <c r="W81" s="14" t="n"/>
      <c r="X81" s="14" t="n"/>
      <c r="Y81" s="14" t="n"/>
      <c r="Z81" s="14" t="n"/>
      <c r="AA81" s="14" t="n"/>
      <c r="AB81" s="14" t="n"/>
      <c r="AC81" s="14" t="n"/>
      <c r="AD81" s="14" t="n"/>
      <c r="AE81" s="14" t="n"/>
      <c r="AF81" s="14" t="n"/>
      <c r="AG81" s="14" t="n"/>
      <c r="AH81" s="14" t="n"/>
      <c r="AI81" s="14" t="n"/>
      <c r="AJ81" s="14" t="n"/>
      <c r="AK81" s="14" t="n"/>
      <c r="AL81" s="14" t="n"/>
      <c r="AM81" s="14" t="n"/>
      <c r="AN81" s="14" t="n"/>
      <c r="AO81" s="14" t="n"/>
      <c r="AP81" s="14" t="n"/>
      <c r="AQ81" s="14" t="n"/>
      <c r="AR81" s="14" t="n"/>
    </row>
    <row r="82">
      <c r="A82" s="14" t="n"/>
      <c r="B82" s="9" t="n"/>
      <c r="C82" s="14" t="n"/>
      <c r="D82" s="14" t="n"/>
      <c r="E82" s="14" t="n"/>
      <c r="F82" s="14" t="n"/>
      <c r="G82" s="14" t="n"/>
      <c r="H82" s="4" t="n"/>
      <c r="I82" s="9" t="n"/>
      <c r="J82" s="14" t="n"/>
      <c r="K82" s="14" t="n"/>
      <c r="L82" s="14" t="n"/>
      <c r="M82" s="14" t="n"/>
      <c r="N82" s="14" t="n"/>
      <c r="O82" s="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c r="AP82" s="14" t="n"/>
      <c r="AQ82" s="14" t="n"/>
      <c r="AR82" s="14" t="n"/>
    </row>
    <row r="83">
      <c r="A83" s="14" t="n"/>
      <c r="B83" s="9" t="n"/>
      <c r="C83" s="14" t="n"/>
      <c r="D83" s="14" t="n"/>
      <c r="E83" s="14" t="n"/>
      <c r="F83" s="14" t="n"/>
      <c r="G83" s="14" t="n"/>
      <c r="H83" s="4" t="n"/>
      <c r="I83" s="9" t="n"/>
      <c r="J83" s="14" t="n"/>
      <c r="K83" s="14" t="n"/>
      <c r="L83" s="14" t="n"/>
      <c r="M83" s="14" t="n"/>
      <c r="N83" s="14" t="n"/>
      <c r="O83" s="4" t="n"/>
      <c r="P83" s="14" t="n"/>
      <c r="Q83" s="14" t="n"/>
      <c r="R83" s="14" t="n"/>
      <c r="S83" s="14" t="n"/>
      <c r="T83" s="14" t="n"/>
      <c r="U83" s="14" t="n"/>
      <c r="V83" s="14" t="n"/>
      <c r="W83" s="14" t="n"/>
      <c r="X83" s="14" t="n"/>
      <c r="Y83" s="14" t="n"/>
      <c r="Z83" s="14" t="n"/>
      <c r="AA83" s="14" t="n"/>
      <c r="AB83" s="14" t="n"/>
      <c r="AC83" s="14" t="n"/>
      <c r="AD83" s="14" t="n"/>
      <c r="AE83" s="14" t="n"/>
      <c r="AF83" s="14" t="n"/>
      <c r="AG83" s="14" t="n"/>
      <c r="AH83" s="14" t="n"/>
      <c r="AI83" s="14" t="n"/>
      <c r="AJ83" s="14" t="n"/>
      <c r="AK83" s="14" t="n"/>
      <c r="AL83" s="14" t="n"/>
      <c r="AM83" s="14" t="n"/>
      <c r="AN83" s="14" t="n"/>
      <c r="AO83" s="14" t="n"/>
      <c r="AP83" s="14" t="n"/>
      <c r="AQ83" s="14" t="n"/>
      <c r="AR83" s="14" t="n"/>
    </row>
    <row r="84">
      <c r="A84" s="14" t="n"/>
      <c r="B84" s="9" t="n"/>
      <c r="C84" s="14" t="n"/>
      <c r="D84" s="14" t="n"/>
      <c r="E84" s="14" t="n"/>
      <c r="F84" s="14" t="n"/>
      <c r="G84" s="14" t="n"/>
      <c r="H84" s="4" t="n"/>
      <c r="I84" s="9" t="n"/>
      <c r="J84" s="14" t="n"/>
      <c r="K84" s="14" t="n"/>
      <c r="L84" s="14" t="n"/>
      <c r="M84" s="14" t="n"/>
      <c r="N84" s="14" t="n"/>
      <c r="O84" s="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c r="AP84" s="14" t="n"/>
      <c r="AQ84" s="14" t="n"/>
      <c r="AR84" s="14" t="n"/>
    </row>
    <row r="85">
      <c r="A85" s="14" t="n"/>
      <c r="B85" s="9" t="n"/>
      <c r="C85" s="14" t="n"/>
      <c r="D85" s="14" t="n"/>
      <c r="E85" s="14" t="n"/>
      <c r="F85" s="14" t="n"/>
      <c r="G85" s="14" t="n"/>
      <c r="H85" s="4" t="n"/>
      <c r="I85" s="9" t="n"/>
      <c r="J85" s="14" t="n"/>
      <c r="K85" s="14" t="n"/>
      <c r="L85" s="14" t="n"/>
      <c r="M85" s="14" t="n"/>
      <c r="N85" s="14" t="n"/>
      <c r="O85" s="4" t="n"/>
      <c r="P85" s="14" t="n"/>
      <c r="Q85" s="14" t="n"/>
      <c r="R85" s="14" t="n"/>
      <c r="S85" s="14" t="n"/>
      <c r="T85" s="14" t="n"/>
      <c r="U85" s="14" t="n"/>
      <c r="V85" s="14" t="n"/>
      <c r="W85" s="14" t="n"/>
      <c r="X85" s="14" t="n"/>
      <c r="Y85" s="14" t="n"/>
      <c r="Z85" s="14" t="n"/>
      <c r="AA85" s="14" t="n"/>
      <c r="AB85" s="14" t="n"/>
      <c r="AC85" s="14" t="n"/>
      <c r="AD85" s="14" t="n"/>
      <c r="AE85" s="14" t="n"/>
      <c r="AF85" s="14" t="n"/>
      <c r="AG85" s="14" t="n"/>
      <c r="AH85" s="14" t="n"/>
      <c r="AI85" s="14" t="n"/>
      <c r="AJ85" s="14" t="n"/>
      <c r="AK85" s="14" t="n"/>
      <c r="AL85" s="14" t="n"/>
      <c r="AM85" s="14" t="n"/>
      <c r="AN85" s="14" t="n"/>
      <c r="AO85" s="14" t="n"/>
      <c r="AP85" s="14" t="n"/>
      <c r="AQ85" s="14" t="n"/>
      <c r="AR85" s="14" t="n"/>
    </row>
    <row r="86">
      <c r="A86" s="14" t="n"/>
      <c r="B86" s="9" t="n"/>
      <c r="C86" s="14" t="n"/>
      <c r="D86" s="14" t="n"/>
      <c r="E86" s="14" t="n"/>
      <c r="F86" s="14" t="n"/>
      <c r="G86" s="14" t="n"/>
      <c r="H86" s="4" t="n"/>
      <c r="I86" s="9" t="n"/>
      <c r="J86" s="14" t="n"/>
      <c r="K86" s="14" t="n"/>
      <c r="L86" s="14" t="n"/>
      <c r="M86" s="14" t="n"/>
      <c r="N86" s="14" t="n"/>
      <c r="O86" s="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c r="AP86" s="14" t="n"/>
      <c r="AQ86" s="14" t="n"/>
      <c r="AR86" s="14" t="n"/>
    </row>
    <row r="87">
      <c r="A87" s="14" t="n"/>
      <c r="B87" s="9" t="n"/>
      <c r="C87" s="14" t="n"/>
      <c r="D87" s="14" t="n"/>
      <c r="E87" s="14" t="n"/>
      <c r="F87" s="14" t="n"/>
      <c r="G87" s="14" t="n"/>
      <c r="H87" s="4" t="n"/>
      <c r="I87" s="9" t="n"/>
      <c r="J87" s="14" t="n"/>
      <c r="K87" s="14" t="n"/>
      <c r="L87" s="14" t="n"/>
      <c r="M87" s="14" t="n"/>
      <c r="N87" s="14" t="n"/>
      <c r="O87" s="4" t="n"/>
      <c r="P87" s="14" t="n"/>
      <c r="Q87" s="14" t="n"/>
      <c r="R87" s="14" t="n"/>
      <c r="S87" s="14" t="n"/>
      <c r="T87" s="14" t="n"/>
      <c r="U87" s="14" t="n"/>
      <c r="V87" s="14" t="n"/>
      <c r="W87" s="14" t="n"/>
      <c r="X87" s="14" t="n"/>
      <c r="Y87" s="14" t="n"/>
      <c r="Z87" s="14" t="n"/>
      <c r="AA87" s="14" t="n"/>
      <c r="AB87" s="14" t="n"/>
      <c r="AC87" s="14" t="n"/>
      <c r="AD87" s="14" t="n"/>
      <c r="AE87" s="14" t="n"/>
      <c r="AF87" s="14" t="n"/>
      <c r="AG87" s="14" t="n"/>
      <c r="AH87" s="14" t="n"/>
      <c r="AI87" s="14" t="n"/>
      <c r="AJ87" s="14" t="n"/>
      <c r="AK87" s="14" t="n"/>
      <c r="AL87" s="14" t="n"/>
      <c r="AM87" s="14" t="n"/>
      <c r="AN87" s="14" t="n"/>
      <c r="AO87" s="14" t="n"/>
      <c r="AP87" s="14" t="n"/>
      <c r="AQ87" s="14" t="n"/>
      <c r="AR87" s="14" t="n"/>
    </row>
    <row r="88">
      <c r="A88" s="14" t="n"/>
      <c r="B88" s="9" t="n"/>
      <c r="C88" s="14" t="n"/>
      <c r="D88" s="14" t="n"/>
      <c r="E88" s="14" t="n"/>
      <c r="F88" s="14" t="n"/>
      <c r="G88" s="14" t="n"/>
      <c r="H88" s="4" t="n"/>
      <c r="I88" s="9" t="n"/>
      <c r="J88" s="14" t="n"/>
      <c r="K88" s="14" t="n"/>
      <c r="L88" s="14" t="n"/>
      <c r="M88" s="14" t="n"/>
      <c r="N88" s="14" t="n"/>
      <c r="O88" s="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c r="AP88" s="14" t="n"/>
      <c r="AQ88" s="14" t="n"/>
      <c r="AR88" s="14" t="n"/>
    </row>
    <row r="89">
      <c r="A89" s="14" t="n"/>
      <c r="B89" s="9" t="n"/>
      <c r="C89" s="14" t="n"/>
      <c r="D89" s="14" t="n"/>
      <c r="E89" s="14" t="n"/>
      <c r="F89" s="14" t="n"/>
      <c r="G89" s="14" t="n"/>
      <c r="H89" s="4" t="n"/>
      <c r="I89" s="9" t="n"/>
      <c r="J89" s="14" t="n"/>
      <c r="K89" s="14" t="n"/>
      <c r="L89" s="14" t="n"/>
      <c r="M89" s="14" t="n"/>
      <c r="N89" s="14" t="n"/>
      <c r="O89" s="4" t="n"/>
      <c r="P89" s="14" t="n"/>
      <c r="Q89" s="14" t="n"/>
      <c r="R89" s="14" t="n"/>
      <c r="S89" s="14" t="n"/>
      <c r="T89" s="14" t="n"/>
      <c r="U89" s="14" t="n"/>
      <c r="V89" s="14" t="n"/>
      <c r="W89" s="14" t="n"/>
      <c r="X89" s="14" t="n"/>
      <c r="Y89" s="14" t="n"/>
      <c r="Z89" s="14" t="n"/>
      <c r="AA89" s="14" t="n"/>
      <c r="AB89" s="14" t="n"/>
      <c r="AC89" s="14" t="n"/>
      <c r="AD89" s="14" t="n"/>
      <c r="AE89" s="14" t="n"/>
      <c r="AF89" s="14" t="n"/>
      <c r="AG89" s="14" t="n"/>
      <c r="AH89" s="14" t="n"/>
      <c r="AI89" s="14" t="n"/>
      <c r="AJ89" s="14" t="n"/>
      <c r="AK89" s="14" t="n"/>
      <c r="AL89" s="14" t="n"/>
      <c r="AM89" s="14" t="n"/>
      <c r="AN89" s="14" t="n"/>
      <c r="AO89" s="14" t="n"/>
      <c r="AP89" s="14" t="n"/>
      <c r="AQ89" s="14" t="n"/>
      <c r="AR89" s="14" t="n"/>
    </row>
    <row r="90">
      <c r="A90" s="14" t="n"/>
      <c r="B90" s="9" t="n"/>
      <c r="C90" s="14" t="n"/>
      <c r="D90" s="14" t="n"/>
      <c r="E90" s="14" t="n"/>
      <c r="F90" s="14" t="n"/>
      <c r="G90" s="14" t="n"/>
      <c r="H90" s="4" t="n"/>
      <c r="I90" s="9" t="n"/>
      <c r="J90" s="14" t="n"/>
      <c r="K90" s="14" t="n"/>
      <c r="L90" s="14" t="n"/>
      <c r="M90" s="14" t="n"/>
      <c r="N90" s="14" t="n"/>
      <c r="O90" s="4" t="n"/>
      <c r="P90" s="14" t="n"/>
      <c r="Q90" s="14" t="n"/>
      <c r="R90" s="14" t="n"/>
      <c r="S90" s="14" t="n"/>
      <c r="T90" s="14" t="n"/>
      <c r="U90" s="14" t="n"/>
      <c r="V90" s="14" t="n"/>
      <c r="W90" s="14" t="n"/>
      <c r="X90" s="14" t="n"/>
      <c r="Y90" s="14" t="n"/>
      <c r="Z90" s="14" t="n"/>
      <c r="AA90" s="14" t="n"/>
      <c r="AB90" s="14" t="n"/>
      <c r="AC90" s="14" t="n"/>
      <c r="AD90" s="14" t="n"/>
      <c r="AE90" s="14" t="n"/>
      <c r="AF90" s="14" t="n"/>
      <c r="AG90" s="14" t="n"/>
      <c r="AH90" s="14" t="n"/>
      <c r="AI90" s="14" t="n"/>
      <c r="AJ90" s="14" t="n"/>
      <c r="AK90" s="14" t="n"/>
      <c r="AL90" s="14" t="n"/>
      <c r="AM90" s="14" t="n"/>
      <c r="AN90" s="14" t="n"/>
      <c r="AO90" s="14" t="n"/>
      <c r="AP90" s="14" t="n"/>
      <c r="AQ90" s="14" t="n"/>
      <c r="AR90" s="14" t="n"/>
    </row>
    <row r="91">
      <c r="A91" s="14" t="n"/>
      <c r="B91" s="9" t="n"/>
      <c r="C91" s="14" t="n"/>
      <c r="D91" s="14" t="n"/>
      <c r="E91" s="14" t="n"/>
      <c r="F91" s="14" t="n"/>
      <c r="G91" s="14" t="n"/>
      <c r="H91" s="4" t="n"/>
      <c r="I91" s="9" t="n"/>
      <c r="J91" s="14" t="n"/>
      <c r="K91" s="14" t="n"/>
      <c r="L91" s="14" t="n"/>
      <c r="M91" s="14" t="n"/>
      <c r="N91" s="14" t="n"/>
      <c r="O91" s="4" t="n"/>
      <c r="P91" s="14" t="n"/>
      <c r="Q91" s="14" t="n"/>
      <c r="R91" s="14" t="n"/>
      <c r="S91" s="14" t="n"/>
      <c r="T91" s="14" t="n"/>
      <c r="U91" s="14" t="n"/>
      <c r="V91" s="14" t="n"/>
      <c r="W91" s="14" t="n"/>
      <c r="X91" s="14" t="n"/>
      <c r="Y91" s="14" t="n"/>
      <c r="Z91" s="14" t="n"/>
      <c r="AA91" s="14" t="n"/>
      <c r="AB91" s="14" t="n"/>
      <c r="AC91" s="14" t="n"/>
      <c r="AD91" s="14" t="n"/>
      <c r="AE91" s="14" t="n"/>
      <c r="AF91" s="14" t="n"/>
      <c r="AG91" s="14" t="n"/>
      <c r="AH91" s="14" t="n"/>
      <c r="AI91" s="14" t="n"/>
      <c r="AJ91" s="14" t="n"/>
      <c r="AK91" s="14" t="n"/>
      <c r="AL91" s="14" t="n"/>
      <c r="AM91" s="14" t="n"/>
      <c r="AN91" s="14" t="n"/>
      <c r="AO91" s="14" t="n"/>
      <c r="AP91" s="14" t="n"/>
      <c r="AQ91" s="14" t="n"/>
      <c r="AR91" s="14" t="n"/>
    </row>
    <row r="92">
      <c r="A92" s="14" t="n"/>
      <c r="B92" s="9" t="n"/>
      <c r="C92" s="14" t="n"/>
      <c r="D92" s="14" t="n"/>
      <c r="E92" s="14" t="n"/>
      <c r="F92" s="14" t="n"/>
      <c r="G92" s="14" t="n"/>
      <c r="H92" s="4" t="n"/>
      <c r="I92" s="9" t="n"/>
      <c r="J92" s="14" t="n"/>
      <c r="K92" s="14" t="n"/>
      <c r="L92" s="14" t="n"/>
      <c r="M92" s="14" t="n"/>
      <c r="N92" s="14" t="n"/>
      <c r="O92" s="4" t="n"/>
      <c r="P92" s="14" t="n"/>
      <c r="Q92" s="14" t="n"/>
      <c r="R92" s="14" t="n"/>
      <c r="S92" s="14" t="n"/>
      <c r="T92" s="14" t="n"/>
      <c r="U92" s="14" t="n"/>
      <c r="V92" s="14" t="n"/>
      <c r="W92" s="14" t="n"/>
      <c r="X92" s="14" t="n"/>
      <c r="Y92" s="14" t="n"/>
      <c r="Z92" s="14" t="n"/>
      <c r="AA92" s="14" t="n"/>
      <c r="AB92" s="14" t="n"/>
      <c r="AC92" s="14" t="n"/>
      <c r="AD92" s="14" t="n"/>
      <c r="AE92" s="14" t="n"/>
      <c r="AF92" s="14" t="n"/>
      <c r="AG92" s="14" t="n"/>
      <c r="AH92" s="14" t="n"/>
      <c r="AI92" s="14" t="n"/>
      <c r="AJ92" s="14" t="n"/>
      <c r="AK92" s="14" t="n"/>
      <c r="AL92" s="14" t="n"/>
      <c r="AM92" s="14" t="n"/>
      <c r="AN92" s="14" t="n"/>
      <c r="AO92" s="14" t="n"/>
      <c r="AP92" s="14" t="n"/>
      <c r="AQ92" s="14" t="n"/>
      <c r="AR92" s="14" t="n"/>
    </row>
    <row r="93">
      <c r="A93" s="14" t="n"/>
      <c r="B93" s="9" t="n"/>
      <c r="C93" s="14" t="n"/>
      <c r="D93" s="14" t="n"/>
      <c r="E93" s="14" t="n"/>
      <c r="F93" s="14" t="n"/>
      <c r="G93" s="14" t="n"/>
      <c r="H93" s="4" t="n"/>
      <c r="I93" s="9" t="n"/>
      <c r="J93" s="14" t="n"/>
      <c r="K93" s="14" t="n"/>
      <c r="L93" s="14" t="n"/>
      <c r="M93" s="14" t="n"/>
      <c r="N93" s="14" t="n"/>
      <c r="O93" s="4" t="n"/>
      <c r="P93" s="14" t="n"/>
      <c r="Q93" s="14" t="n"/>
      <c r="R93" s="14" t="n"/>
      <c r="S93" s="14" t="n"/>
      <c r="T93" s="14" t="n"/>
      <c r="U93" s="14" t="n"/>
      <c r="V93" s="14" t="n"/>
      <c r="W93" s="14" t="n"/>
      <c r="X93" s="14" t="n"/>
      <c r="Y93" s="14" t="n"/>
      <c r="Z93" s="14" t="n"/>
      <c r="AA93" s="14" t="n"/>
      <c r="AB93" s="14" t="n"/>
      <c r="AC93" s="14" t="n"/>
      <c r="AD93" s="14" t="n"/>
      <c r="AE93" s="14" t="n"/>
      <c r="AF93" s="14" t="n"/>
      <c r="AG93" s="14" t="n"/>
      <c r="AH93" s="14" t="n"/>
      <c r="AI93" s="14" t="n"/>
      <c r="AJ93" s="14" t="n"/>
      <c r="AK93" s="14" t="n"/>
      <c r="AL93" s="14" t="n"/>
      <c r="AM93" s="14" t="n"/>
      <c r="AN93" s="14" t="n"/>
      <c r="AO93" s="14" t="n"/>
      <c r="AP93" s="14" t="n"/>
      <c r="AQ93" s="14" t="n"/>
      <c r="AR93" s="14" t="n"/>
    </row>
    <row r="94">
      <c r="A94" s="14" t="n"/>
      <c r="B94" s="9" t="n"/>
      <c r="C94" s="14" t="n"/>
      <c r="D94" s="14" t="n"/>
      <c r="E94" s="14" t="n"/>
      <c r="F94" s="14" t="n"/>
      <c r="G94" s="14" t="n"/>
      <c r="H94" s="4" t="n"/>
      <c r="I94" s="9" t="n"/>
      <c r="J94" s="14" t="n"/>
      <c r="K94" s="14" t="n"/>
      <c r="L94" s="14" t="n"/>
      <c r="M94" s="14" t="n"/>
      <c r="N94" s="14" t="n"/>
      <c r="O94" s="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c r="AP94" s="14" t="n"/>
      <c r="AQ94" s="14" t="n"/>
      <c r="AR94" s="14" t="n"/>
    </row>
    <row r="95">
      <c r="A95" s="14" t="n"/>
      <c r="B95" s="9" t="n"/>
      <c r="C95" s="14" t="n"/>
      <c r="D95" s="14" t="n"/>
      <c r="E95" s="14" t="n"/>
      <c r="F95" s="14" t="n"/>
      <c r="G95" s="14" t="n"/>
      <c r="H95" s="4" t="n"/>
      <c r="I95" s="9" t="n"/>
      <c r="J95" s="14" t="n"/>
      <c r="K95" s="14" t="n"/>
      <c r="L95" s="14" t="n"/>
      <c r="M95" s="14" t="n"/>
      <c r="N95" s="14" t="n"/>
      <c r="O95" s="4" t="n"/>
      <c r="P95" s="14" t="n"/>
      <c r="Q95" s="14" t="n"/>
      <c r="R95" s="14" t="n"/>
      <c r="S95" s="14" t="n"/>
      <c r="T95" s="14" t="n"/>
      <c r="U95" s="14" t="n"/>
      <c r="V95" s="14" t="n"/>
      <c r="W95" s="14" t="n"/>
      <c r="X95" s="14" t="n"/>
      <c r="Y95" s="14" t="n"/>
      <c r="Z95" s="14" t="n"/>
      <c r="AA95" s="14" t="n"/>
      <c r="AB95" s="14" t="n"/>
      <c r="AC95" s="14" t="n"/>
      <c r="AD95" s="14" t="n"/>
      <c r="AE95" s="14" t="n"/>
      <c r="AF95" s="14" t="n"/>
      <c r="AG95" s="14" t="n"/>
      <c r="AH95" s="14" t="n"/>
      <c r="AI95" s="14" t="n"/>
      <c r="AJ95" s="14" t="n"/>
      <c r="AK95" s="14" t="n"/>
      <c r="AL95" s="14" t="n"/>
      <c r="AM95" s="14" t="n"/>
      <c r="AN95" s="14" t="n"/>
      <c r="AO95" s="14" t="n"/>
      <c r="AP95" s="14" t="n"/>
      <c r="AQ95" s="14" t="n"/>
      <c r="AR95" s="14" t="n"/>
    </row>
    <row r="96">
      <c r="A96" s="14" t="n"/>
      <c r="B96" s="9" t="n"/>
      <c r="C96" s="14" t="n"/>
      <c r="D96" s="14" t="n"/>
      <c r="E96" s="14" t="n"/>
      <c r="F96" s="14" t="n"/>
      <c r="G96" s="14" t="n"/>
      <c r="H96" s="4" t="n"/>
      <c r="I96" s="9" t="n"/>
      <c r="J96" s="14" t="n"/>
      <c r="K96" s="14" t="n"/>
      <c r="L96" s="14" t="n"/>
      <c r="M96" s="14" t="n"/>
      <c r="N96" s="14" t="n"/>
      <c r="O96" s="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c r="AP96" s="14" t="n"/>
      <c r="AQ96" s="14" t="n"/>
      <c r="AR96" s="14" t="n"/>
    </row>
    <row r="97">
      <c r="A97" s="14" t="n"/>
      <c r="B97" s="9" t="n"/>
      <c r="C97" s="14" t="n"/>
      <c r="D97" s="14" t="n"/>
      <c r="E97" s="14" t="n"/>
      <c r="F97" s="14" t="n"/>
      <c r="G97" s="14" t="n"/>
      <c r="H97" s="4" t="n"/>
      <c r="I97" s="9" t="n"/>
      <c r="J97" s="14" t="n"/>
      <c r="K97" s="14" t="n"/>
      <c r="L97" s="14" t="n"/>
      <c r="M97" s="14" t="n"/>
      <c r="N97" s="14" t="n"/>
      <c r="O97" s="4" t="n"/>
      <c r="P97" s="14" t="n"/>
      <c r="Q97" s="14" t="n"/>
      <c r="R97" s="14" t="n"/>
      <c r="S97" s="14" t="n"/>
      <c r="T97" s="14" t="n"/>
      <c r="U97" s="14" t="n"/>
      <c r="V97" s="14" t="n"/>
      <c r="W97" s="14" t="n"/>
      <c r="X97" s="14" t="n"/>
      <c r="Y97" s="14" t="n"/>
      <c r="Z97" s="14" t="n"/>
      <c r="AA97" s="14" t="n"/>
      <c r="AB97" s="14" t="n"/>
      <c r="AC97" s="14" t="n"/>
      <c r="AD97" s="14" t="n"/>
      <c r="AE97" s="14" t="n"/>
      <c r="AF97" s="14" t="n"/>
      <c r="AG97" s="14" t="n"/>
      <c r="AH97" s="14" t="n"/>
      <c r="AI97" s="14" t="n"/>
      <c r="AJ97" s="14" t="n"/>
      <c r="AK97" s="14" t="n"/>
      <c r="AL97" s="14" t="n"/>
      <c r="AM97" s="14" t="n"/>
      <c r="AN97" s="14" t="n"/>
      <c r="AO97" s="14" t="n"/>
      <c r="AP97" s="14" t="n"/>
      <c r="AQ97" s="14" t="n"/>
      <c r="AR97" s="14" t="n"/>
    </row>
    <row r="98">
      <c r="A98" s="14" t="n"/>
      <c r="B98" s="9" t="n"/>
      <c r="C98" s="14" t="n"/>
      <c r="D98" s="14" t="n"/>
      <c r="E98" s="14" t="n"/>
      <c r="F98" s="14" t="n"/>
      <c r="G98" s="14" t="n"/>
      <c r="H98" s="4" t="n"/>
      <c r="I98" s="9" t="n"/>
      <c r="J98" s="14" t="n"/>
      <c r="K98" s="14" t="n"/>
      <c r="L98" s="14" t="n"/>
      <c r="M98" s="14" t="n"/>
      <c r="N98" s="14" t="n"/>
      <c r="O98" s="4" t="n"/>
      <c r="P98" s="14" t="n"/>
      <c r="Q98" s="14" t="n"/>
      <c r="R98" s="14" t="n"/>
      <c r="S98" s="14" t="n"/>
      <c r="T98" s="14" t="n"/>
      <c r="U98" s="14" t="n"/>
      <c r="V98" s="14" t="n"/>
      <c r="W98" s="14" t="n"/>
      <c r="X98" s="14" t="n"/>
      <c r="Y98" s="14" t="n"/>
      <c r="Z98" s="14" t="n"/>
      <c r="AA98" s="14" t="n"/>
      <c r="AB98" s="14" t="n"/>
      <c r="AC98" s="14" t="n"/>
      <c r="AD98" s="14" t="n"/>
      <c r="AE98" s="14" t="n"/>
      <c r="AF98" s="14" t="n"/>
      <c r="AG98" s="14" t="n"/>
      <c r="AH98" s="14" t="n"/>
      <c r="AI98" s="14" t="n"/>
      <c r="AJ98" s="14" t="n"/>
      <c r="AK98" s="14" t="n"/>
      <c r="AL98" s="14" t="n"/>
      <c r="AM98" s="14" t="n"/>
      <c r="AN98" s="14" t="n"/>
      <c r="AO98" s="14" t="n"/>
      <c r="AP98" s="14" t="n"/>
      <c r="AQ98" s="14" t="n"/>
      <c r="AR98" s="14" t="n"/>
    </row>
    <row r="99">
      <c r="A99" s="14" t="n"/>
      <c r="B99" s="9" t="n"/>
      <c r="C99" s="14" t="n"/>
      <c r="D99" s="14" t="n"/>
      <c r="E99" s="14" t="n"/>
      <c r="F99" s="14" t="n"/>
      <c r="G99" s="14" t="n"/>
      <c r="H99" s="4" t="n"/>
      <c r="I99" s="9" t="n"/>
      <c r="J99" s="14" t="n"/>
      <c r="K99" s="14" t="n"/>
      <c r="L99" s="14" t="n"/>
      <c r="M99" s="14" t="n"/>
      <c r="N99" s="14" t="n"/>
      <c r="O99" s="4" t="n"/>
      <c r="P99" s="14" t="n"/>
      <c r="Q99" s="14" t="n"/>
      <c r="R99" s="14" t="n"/>
      <c r="S99" s="14" t="n"/>
      <c r="T99" s="14" t="n"/>
      <c r="U99" s="14" t="n"/>
      <c r="V99" s="14" t="n"/>
      <c r="W99" s="14" t="n"/>
      <c r="X99" s="14" t="n"/>
      <c r="Y99" s="14" t="n"/>
      <c r="Z99" s="14" t="n"/>
      <c r="AA99" s="14" t="n"/>
      <c r="AB99" s="14" t="n"/>
      <c r="AC99" s="14" t="n"/>
      <c r="AD99" s="14" t="n"/>
      <c r="AE99" s="14" t="n"/>
      <c r="AF99" s="14" t="n"/>
      <c r="AG99" s="14" t="n"/>
      <c r="AH99" s="14" t="n"/>
      <c r="AI99" s="14" t="n"/>
      <c r="AJ99" s="14" t="n"/>
      <c r="AK99" s="14" t="n"/>
      <c r="AL99" s="14" t="n"/>
      <c r="AM99" s="14" t="n"/>
      <c r="AN99" s="14" t="n"/>
      <c r="AO99" s="14" t="n"/>
      <c r="AP99" s="14" t="n"/>
      <c r="AQ99" s="14" t="n"/>
      <c r="AR99" s="14" t="n"/>
    </row>
    <row r="100">
      <c r="A100" s="14" t="n"/>
      <c r="B100" s="9" t="n"/>
      <c r="C100" s="14" t="n"/>
      <c r="D100" s="14" t="n"/>
      <c r="E100" s="14" t="n"/>
      <c r="F100" s="14" t="n"/>
      <c r="G100" s="14" t="n"/>
      <c r="H100" s="4" t="n"/>
      <c r="I100" s="9" t="n"/>
      <c r="J100" s="14" t="n"/>
      <c r="K100" s="14" t="n"/>
      <c r="L100" s="14" t="n"/>
      <c r="M100" s="14" t="n"/>
      <c r="N100" s="14" t="n"/>
      <c r="O100" s="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c r="AH100" s="14" t="n"/>
      <c r="AI100" s="14" t="n"/>
      <c r="AJ100" s="14" t="n"/>
      <c r="AK100" s="14" t="n"/>
      <c r="AL100" s="14" t="n"/>
      <c r="AM100" s="14" t="n"/>
      <c r="AN100" s="14" t="n"/>
      <c r="AO100" s="14" t="n"/>
      <c r="AP100" s="14" t="n"/>
      <c r="AQ100" s="14" t="n"/>
      <c r="AR100" s="14" t="n"/>
    </row>
    <row r="101">
      <c r="A101" s="14" t="n"/>
      <c r="B101" s="9" t="n"/>
      <c r="C101" s="14" t="n"/>
      <c r="D101" s="14" t="n"/>
      <c r="E101" s="14" t="n"/>
      <c r="F101" s="14" t="n"/>
      <c r="G101" s="14" t="n"/>
      <c r="H101" s="4" t="n"/>
      <c r="I101" s="9" t="n"/>
      <c r="J101" s="14" t="n"/>
      <c r="K101" s="14" t="n"/>
      <c r="L101" s="14" t="n"/>
      <c r="M101" s="14" t="n"/>
      <c r="N101" s="14" t="n"/>
      <c r="O101" s="4" t="n"/>
      <c r="P101" s="14" t="n"/>
      <c r="Q101" s="14" t="n"/>
      <c r="R101" s="14" t="n"/>
      <c r="S101" s="14" t="n"/>
      <c r="T101" s="14" t="n"/>
      <c r="U101" s="14" t="n"/>
      <c r="V101" s="14" t="n"/>
      <c r="W101" s="14" t="n"/>
      <c r="X101" s="14" t="n"/>
      <c r="Y101" s="14" t="n"/>
      <c r="Z101" s="14" t="n"/>
      <c r="AA101" s="14" t="n"/>
      <c r="AB101" s="14" t="n"/>
      <c r="AC101" s="14" t="n"/>
      <c r="AD101" s="14" t="n"/>
      <c r="AE101" s="14" t="n"/>
      <c r="AF101" s="14" t="n"/>
      <c r="AG101" s="14" t="n"/>
      <c r="AH101" s="14" t="n"/>
      <c r="AI101" s="14" t="n"/>
      <c r="AJ101" s="14" t="n"/>
      <c r="AK101" s="14" t="n"/>
      <c r="AL101" s="14" t="n"/>
      <c r="AM101" s="14" t="n"/>
      <c r="AN101" s="14" t="n"/>
      <c r="AO101" s="14" t="n"/>
      <c r="AP101" s="14" t="n"/>
      <c r="AQ101" s="14" t="n"/>
      <c r="AR101" s="14" t="n"/>
    </row>
    <row r="102">
      <c r="A102" s="14" t="n"/>
      <c r="B102" s="9" t="n"/>
      <c r="C102" s="14" t="n"/>
      <c r="D102" s="14" t="n"/>
      <c r="E102" s="14" t="n"/>
      <c r="F102" s="14" t="n"/>
      <c r="G102" s="14" t="n"/>
      <c r="H102" s="4" t="n"/>
      <c r="I102" s="9" t="n"/>
      <c r="J102" s="14" t="n"/>
      <c r="K102" s="14" t="n"/>
      <c r="L102" s="14" t="n"/>
      <c r="M102" s="14" t="n"/>
      <c r="N102" s="14" t="n"/>
      <c r="O102" s="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c r="AP102" s="14" t="n"/>
      <c r="AQ102" s="14" t="n"/>
      <c r="AR102" s="14" t="n"/>
    </row>
    <row r="103">
      <c r="A103" s="14" t="n"/>
      <c r="B103" s="9" t="n"/>
      <c r="C103" s="14" t="n"/>
      <c r="D103" s="14" t="n"/>
      <c r="E103" s="14" t="n"/>
      <c r="F103" s="14" t="n"/>
      <c r="G103" s="14" t="n"/>
      <c r="H103" s="4" t="n"/>
      <c r="I103" s="9" t="n"/>
      <c r="J103" s="14" t="n"/>
      <c r="K103" s="14" t="n"/>
      <c r="L103" s="14" t="n"/>
      <c r="M103" s="14" t="n"/>
      <c r="N103" s="14" t="n"/>
      <c r="O103" s="4" t="n"/>
      <c r="P103" s="14" t="n"/>
      <c r="Q103" s="14" t="n"/>
      <c r="R103" s="14" t="n"/>
      <c r="S103" s="14" t="n"/>
      <c r="T103" s="14" t="n"/>
      <c r="U103" s="14" t="n"/>
      <c r="V103" s="14" t="n"/>
      <c r="W103" s="14" t="n"/>
      <c r="X103" s="14" t="n"/>
      <c r="Y103" s="14" t="n"/>
      <c r="Z103" s="14" t="n"/>
      <c r="AA103" s="14" t="n"/>
      <c r="AB103" s="14" t="n"/>
      <c r="AC103" s="14" t="n"/>
      <c r="AD103" s="14" t="n"/>
      <c r="AE103" s="14" t="n"/>
      <c r="AF103" s="14" t="n"/>
      <c r="AG103" s="14" t="n"/>
      <c r="AH103" s="14" t="n"/>
      <c r="AI103" s="14" t="n"/>
      <c r="AJ103" s="14" t="n"/>
      <c r="AK103" s="14" t="n"/>
      <c r="AL103" s="14" t="n"/>
      <c r="AM103" s="14" t="n"/>
      <c r="AN103" s="14" t="n"/>
      <c r="AO103" s="14" t="n"/>
      <c r="AP103" s="14" t="n"/>
      <c r="AQ103" s="14" t="n"/>
      <c r="AR103" s="14" t="n"/>
    </row>
    <row r="104">
      <c r="A104" s="14" t="n"/>
      <c r="B104" s="9" t="n"/>
      <c r="C104" s="14" t="n"/>
      <c r="D104" s="14" t="n"/>
      <c r="E104" s="14" t="n"/>
      <c r="F104" s="14" t="n"/>
      <c r="G104" s="14" t="n"/>
      <c r="H104" s="4" t="n"/>
      <c r="I104" s="9" t="n"/>
      <c r="J104" s="14" t="n"/>
      <c r="K104" s="14" t="n"/>
      <c r="L104" s="14" t="n"/>
      <c r="M104" s="14" t="n"/>
      <c r="N104" s="14" t="n"/>
      <c r="O104" s="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c r="AP104" s="14" t="n"/>
      <c r="AQ104" s="14" t="n"/>
      <c r="AR104" s="14" t="n"/>
    </row>
  </sheetData>
  <mergeCells count="2">
    <mergeCell ref="A1:AR1"/>
    <mergeCell ref="A2:AR2"/>
  </mergeCells>
  <dataValidations count="25">
    <dataValidation sqref="B5:B104 I5:I104" showDropDown="0" showInputMessage="0" showErrorMessage="0" allowBlank="0" type="date">
      <formula1>DATE(1900,1,1)</formula1>
      <formula2>DATE(2100,12,31)</formula2>
    </dataValidation>
    <dataValidation sqref="C5:C104" showDropDown="0" showInputMessage="0" showErrorMessage="0" allowBlank="1" type="list">
      <formula1>"LUTS (Lower urinary tract symptoms),Haematuria,Bone pain / backache,Incidental PSA elevation,Asymptomatic screening,Urinary retention"</formula1>
    </dataValidation>
    <dataValidation sqref="E5:E104" showDropDown="0" showInputMessage="0" showErrorMessage="0" allowBlank="1" type="list">
      <formula1>"0–7 (Mild),8–19 (Moderate),20–35 (Severe)"</formula1>
    </dataValidation>
    <dataValidation sqref="F5:F104" showDropDown="0" showInputMessage="0" showErrorMessage="0" allowBlank="1" type="list">
      <formula1>"None,Constipation,Blood in stool,Tenesmus"</formula1>
    </dataValidation>
    <dataValidation sqref="G5:G104" showDropDown="0" showInputMessage="0" showErrorMessage="0" allowBlank="1" type="list">
      <formula1>"Normal,Enlarged (BPH),Nodule – unilateral,Nodule – bilateral,Induration / fixity,Seminal vesicle ext."</formula1>
    </dataValidation>
    <dataValidation sqref="H5:H104 O5:O104" showDropDown="0" showInputMessage="0" showErrorMessage="0" allowBlank="0" type="decimal">
      <formula1>0</formula1>
      <formula2>10000</formula2>
    </dataValidation>
    <dataValidation sqref="J5:J104" showDropDown="0" showInputMessage="0" showErrorMessage="0" allowBlank="1" type="list">
      <formula1>"12-core TRUS biopsy,MRI-targeted / Fusion biopsy,Cognitive targeted,Transperineal biopsy,TURP chips"</formula1>
    </dataValidation>
    <dataValidation sqref="K5:K104" showDropDown="0" showInputMessage="0" showErrorMessage="0" allowBlank="1" type="list">
      <formula1>"PI-RADS 1,PI-RADS 2,PI-RADS 3,PI-RADS 4,PI-RADS 5,Not done"</formula1>
    </dataValidation>
    <dataValidation sqref="L5:L104" showDropDown="0" showInputMessage="0" showErrorMessage="0" allowBlank="1" type="list">
      <formula1>"3+3=6,3+4=7,4+3=7,4+4=8,4+5=9,5+4=9,5+5=10"</formula1>
    </dataValidation>
    <dataValidation sqref="M5:M104" showDropDown="0" showInputMessage="0" showErrorMessage="0" allowBlank="1" type="list">
      <formula1>"Grade 1 (3+3),Grade 2 (3+4),Grade 3 (4+3),Grade 4 (4+4),Grade 5 (≥4+5)"</formula1>
    </dataValidation>
    <dataValidation sqref="P5:P104" showDropDown="0" showInputMessage="0" showErrorMessage="0" allowBlank="1" type="list">
      <formula1>"Not assessed,Absent,Present"</formula1>
    </dataValidation>
    <dataValidation sqref="Q5:Q104" showDropDown="0" showInputMessage="0" showErrorMessage="0" allowBlank="1" type="list">
      <formula1>"Not assessed,Absent,Present (radiological)"</formula1>
    </dataValidation>
    <dataValidation sqref="R5:R104" showDropDown="0" showInputMessage="0" showErrorMessage="0" allowBlank="1" type="list">
      <formula1>"cT1a,cT1b,cT1c,cT2a,cT2b,cT2c,cT3a,cT3b,cT4"</formula1>
    </dataValidation>
    <dataValidation sqref="S5:S104" showDropDown="0" showInputMessage="0" showErrorMessage="0" allowBlank="1" type="list">
      <formula1>"cN0,cN1,cNX"</formula1>
    </dataValidation>
    <dataValidation sqref="T5:T104" showDropDown="0" showInputMessage="0" showErrorMessage="0" allowBlank="1" type="list">
      <formula1>"cM0,M1a (Non-regional LN),M1b (Bone mets),M1c (Visceral mets)"</formula1>
    </dataValidation>
    <dataValidation sqref="U5:U104" showDropDown="0" showInputMessage="0" showErrorMessage="0" allowBlank="1" type="list">
      <formula1>"Low,Intermediate – Favourable,Intermediate – Unfavourable,High,Very High / Locally Advanced,M1 – Metastatic HSPC"</formula1>
    </dataValidation>
    <dataValidation sqref="V5:V104" showDropDown="0" showInputMessage="0" showErrorMessage="0" allowBlank="1" type="list">
      <formula1>"0 – Fully active,1 – Restricted strenuous activity,2 – Ambulatory, self-care only,3 – Limited self-care,4 – Completely disabled"</formula1>
    </dataValidation>
    <dataValidation sqref="W5:W104" showDropDown="0" showInputMessage="0" showErrorMessage="0" allowBlank="1" type="list">
      <formula1>"Hormone-sensitive (HSPC),Castration-resistant (CRPC),Not on ADT"</formula1>
    </dataValidation>
    <dataValidation sqref="X5:X104" showDropDown="0" showInputMessage="0" showErrorMessage="0" allowBlank="1" type="list">
      <formula1>"Not done,Done — abnormal,Done — normal"</formula1>
    </dataValidation>
    <dataValidation sqref="Y5:Y104" showDropDown="0" showInputMessage="0" showErrorMessage="0" allowBlank="1" type="list">
      <formula1>"Not done,Done — no metastases,Done — bone metastases present"</formula1>
    </dataValidation>
    <dataValidation sqref="Z5:Z104" showDropDown="0" showInputMessage="0" showErrorMessage="0" allowBlank="1" type="list">
      <formula1>"Not done,Done — no uptake,Done — pelvic nodal uptake,Done — distant metastases"</formula1>
    </dataValidation>
    <dataValidation sqref="AA5:AA104" showDropDown="0" showInputMessage="0" showErrorMessage="0" allowBlank="1" type="list">
      <formula1>"Not done,Done — lymphadenopathy,Done — normal"</formula1>
    </dataValidation>
    <dataValidation sqref="AB5:AB104" showDropDown="0" showInputMessage="0" showErrorMessage="0" allowBlank="1" type="list">
      <formula1>"Not done,Normal (T-score ≥ −1),Osteopenia (T −1 to −2.5),Osteoporosis (T-score &lt; −2.5)"</formula1>
    </dataValidation>
    <dataValidation sqref="AC5:AC104" showDropDown="0" showInputMessage="0" showErrorMessage="0" allowBlank="1" type="list">
      <formula1>"Not done,BRCA1/2 — pathogenic variant,BRCA1/2 — negative,MSI-H / dMMR,HRR mutation (non-BRCA),Pending"</formula1>
    </dataValidation>
    <dataValidation sqref="AD5:AR104" showDropDown="0" showInputMessage="0" showErrorMessage="0" allowBlank="1" type="list">
      <formula1>",Yes,No"</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M104"/>
  <sheetViews>
    <sheetView showGridLines="0" zoomScale="80" zoomScaleNormal="80" workbookViewId="0">
      <selection activeCell="G13" sqref="G13"/>
    </sheetView>
  </sheetViews>
  <sheetFormatPr baseColWidth="8" defaultColWidth="8.875" defaultRowHeight="14.25"/>
  <cols>
    <col width="18" customWidth="1" min="1" max="1"/>
    <col width="24" customWidth="1" min="2" max="2"/>
    <col width="22" customWidth="1" min="3" max="3"/>
    <col width="16" customWidth="1" min="4" max="4"/>
    <col width="22" customWidth="1" min="5" max="5"/>
    <col width="16" customWidth="1" min="6" max="6"/>
    <col width="26" customWidth="1" min="7" max="7"/>
    <col width="24" customWidth="1" min="8" max="8"/>
    <col width="16" customWidth="1" min="9" max="9"/>
    <col width="22" customWidth="1" min="10" max="10"/>
    <col width="24" customWidth="1" min="11" max="11"/>
    <col width="18" customWidth="1" min="12" max="12"/>
    <col width="24" customWidth="1" min="13" max="13"/>
    <col width="16" customWidth="1" min="14" max="15"/>
    <col width="24" customWidth="1" min="16" max="16"/>
    <col width="16" customWidth="1" min="17" max="17"/>
    <col width="18" customWidth="1" min="18" max="19"/>
    <col width="22" customWidth="1" min="20" max="21"/>
    <col width="18" customWidth="1" min="22" max="22"/>
    <col width="16" customWidth="1" min="23" max="23"/>
    <col width="18" customWidth="1" min="24" max="24"/>
    <col width="16" customWidth="1" min="25" max="26"/>
    <col width="24" customWidth="1" min="27" max="27"/>
    <col width="20" customWidth="1" min="28" max="28"/>
    <col width="18" customWidth="1" min="29" max="30"/>
    <col width="24" customWidth="1" min="31" max="31"/>
    <col width="22" customWidth="1" min="32" max="32"/>
    <col width="32" customWidth="1" min="33" max="33"/>
    <col width="18" customWidth="1" min="34" max="34"/>
    <col width="18" customWidth="1" min="35" max="35"/>
    <col width="22" customWidth="1" min="36" max="36"/>
    <col width="31" customWidth="1" min="37" max="37"/>
    <col width="29" customWidth="1" min="38" max="38"/>
    <col width="30" customWidth="1" min="39" max="39"/>
  </cols>
  <sheetData>
    <row r="1" ht="15.75" customHeight="1">
      <c r="A1" s="12" t="inlineStr">
        <is>
          <t>Treatment Entry</t>
        </is>
      </c>
    </row>
    <row r="2">
      <c r="A2" s="13" t="inlineStr">
        <is>
          <t>One row per patient. This sheet captures intent, MDT status, systemic therapy, radiotherapy, bone-health, tolerability, and follow-up controls.</t>
        </is>
      </c>
    </row>
    <row r="4" ht="45" customHeight="1">
      <c r="A4" s="2" t="inlineStr">
        <is>
          <t>Unique Patient Code *</t>
        </is>
      </c>
      <c r="B4" s="2" t="inlineStr">
        <is>
          <t>Treatment Intent</t>
        </is>
      </c>
      <c r="C4" s="2" t="inlineStr">
        <is>
          <t>MDT / Tumour Board Status</t>
        </is>
      </c>
      <c r="D4" s="2" t="inlineStr">
        <is>
          <t>Date of MDT Review</t>
        </is>
      </c>
      <c r="E4" s="2" t="inlineStr">
        <is>
          <t>Clinical Trial Eligibility</t>
        </is>
      </c>
      <c r="F4" s="2" t="inlineStr">
        <is>
          <t>Treatment Start Date</t>
        </is>
      </c>
      <c r="G4" s="2" t="inlineStr">
        <is>
          <t>ADT Type</t>
        </is>
      </c>
      <c r="H4" s="2" t="inlineStr">
        <is>
          <t>Formulation / Dose</t>
        </is>
      </c>
      <c r="I4" s="2" t="inlineStr">
        <is>
          <t>ADT Start Date</t>
        </is>
      </c>
      <c r="J4" s="2" t="inlineStr">
        <is>
          <t>Anti-androgen</t>
        </is>
      </c>
      <c r="K4" s="2" t="inlineStr">
        <is>
          <t>ARSI Intensification</t>
        </is>
      </c>
      <c r="L4" s="2" t="inlineStr">
        <is>
          <t>Testosterone Level</t>
        </is>
      </c>
      <c r="M4" s="2" t="inlineStr">
        <is>
          <t>Chemotherapy Regimen</t>
        </is>
      </c>
      <c r="N4" s="2" t="inlineStr">
        <is>
          <t>Number of Cycles Completed</t>
        </is>
      </c>
      <c r="O4" s="2" t="inlineStr">
        <is>
          <t>Last Cycle Date</t>
        </is>
      </c>
      <c r="P4" s="2" t="inlineStr">
        <is>
          <t>RT Indication</t>
        </is>
      </c>
      <c r="Q4" s="2" t="inlineStr">
        <is>
          <t>RT Status</t>
        </is>
      </c>
      <c r="R4" s="2" t="inlineStr">
        <is>
          <t>RT Modality</t>
        </is>
      </c>
      <c r="S4" s="2" t="inlineStr">
        <is>
          <t>Target Volume</t>
        </is>
      </c>
      <c r="T4" s="2" t="inlineStr">
        <is>
          <t>Dose / Fractionation</t>
        </is>
      </c>
      <c r="U4" s="2" t="inlineStr">
        <is>
          <t>RT Facility</t>
        </is>
      </c>
      <c r="V4" s="2" t="inlineStr">
        <is>
          <t>Planned RT Start Date</t>
        </is>
      </c>
      <c r="W4" s="2" t="inlineStr">
        <is>
          <t>RT Completion Date</t>
        </is>
      </c>
      <c r="X4" s="2" t="inlineStr">
        <is>
          <t>CGHS Pre-auth Status</t>
        </is>
      </c>
      <c r="Y4" s="2" t="inlineStr">
        <is>
          <t>CGHS Request Date</t>
        </is>
      </c>
      <c r="Z4" s="2" t="inlineStr">
        <is>
          <t>CGHS Approval Date</t>
        </is>
      </c>
      <c r="AA4" s="2" t="inlineStr">
        <is>
          <t>Bone Protection Therapy *</t>
        </is>
      </c>
      <c r="AB4" s="2" t="inlineStr">
        <is>
          <t>Calcium &amp; Vitamin D</t>
        </is>
      </c>
      <c r="AC4" s="2" t="inlineStr">
        <is>
          <t>Next Follow-up PSA Date</t>
        </is>
      </c>
      <c r="AD4" s="2" t="inlineStr">
        <is>
          <t>Testosterone Monitoring</t>
        </is>
      </c>
      <c r="AE4" s="2" t="inlineStr">
        <is>
          <t>Psychosocial Screening (PHQ-9)</t>
        </is>
      </c>
      <c r="AF4" s="2" t="inlineStr">
        <is>
          <t>Nutritional Assessment</t>
        </is>
      </c>
      <c r="AG4" s="2" t="inlineStr">
        <is>
          <t>Safety / Side Effects Observed</t>
        </is>
      </c>
      <c r="AH4" s="34" t="inlineStr">
        <is>
          <t>Surgery Type</t>
        </is>
      </c>
      <c r="AI4" s="34" t="inlineStr">
        <is>
          <t>Surgery Date</t>
        </is>
      </c>
      <c r="AJ4" s="34" t="inlineStr">
        <is>
          <t>Radioligand Therapy</t>
        </is>
      </c>
      <c r="AK4" s="34" t="inlineStr">
        <is>
          <t>Radioligand Cycles Completed</t>
        </is>
      </c>
      <c r="AL4" s="34" t="inlineStr">
        <is>
          <t>Radioligand Dose per Cycle</t>
        </is>
      </c>
      <c r="AM4" s="34" t="inlineStr">
        <is>
          <t>Radioligand Last Cycle Date</t>
        </is>
      </c>
    </row>
    <row r="5" ht="28.5" customHeight="1">
      <c r="A5" s="14" t="inlineStr">
        <is>
          <t>PCR-001</t>
        </is>
      </c>
      <c r="B5" s="14" t="inlineStr">
        <is>
          <t>Curative</t>
        </is>
      </c>
      <c r="C5" s="14" t="inlineStr">
        <is>
          <t>Pending review</t>
        </is>
      </c>
      <c r="D5" s="9" t="n"/>
      <c r="E5" s="14" t="inlineStr">
        <is>
          <t>Not screened</t>
        </is>
      </c>
      <c r="F5" s="9" t="n">
        <v>46040</v>
      </c>
      <c r="G5" s="14" t="inlineStr">
        <is>
          <t>LHRH Agonist (Goserelin / Zoladex)</t>
        </is>
      </c>
      <c r="H5" s="14" t="inlineStr">
        <is>
          <t>Goserelin 10.8 mg (3-monthly)</t>
        </is>
      </c>
      <c r="I5" s="9" t="n">
        <v>46040</v>
      </c>
      <c r="J5" s="14" t="inlineStr">
        <is>
          <t>Bicalutamide 50 mg OD (flare cover)</t>
        </is>
      </c>
      <c r="K5" s="14" t="inlineStr">
        <is>
          <t>Not initiated</t>
        </is>
      </c>
      <c r="L5" s="14" t="inlineStr">
        <is>
          <t>84</t>
        </is>
      </c>
      <c r="M5" s="14" t="inlineStr">
        <is>
          <t>Not indicated / Not started</t>
        </is>
      </c>
      <c r="N5" s="3" t="n">
        <v>0</v>
      </c>
      <c r="O5" s="9" t="n"/>
      <c r="P5" s="14" t="inlineStr">
        <is>
          <t>Planned — awaiting CGHS approval</t>
        </is>
      </c>
      <c r="Q5" s="14" t="inlineStr">
        <is>
          <t>Planned</t>
        </is>
      </c>
      <c r="R5" s="14" t="inlineStr">
        <is>
          <t>IMRT / VMAT</t>
        </is>
      </c>
      <c r="S5" s="14" t="inlineStr">
        <is>
          <t>Prostate + Whole Pelvis</t>
        </is>
      </c>
      <c r="T5" s="14" t="inlineStr">
        <is>
          <t>60 Gy / 20 fx (moderate hypofractionation)</t>
        </is>
      </c>
      <c r="U5" s="14" t="inlineStr">
        <is>
          <t>AIIMS New Delhi</t>
        </is>
      </c>
      <c r="V5" s="9" t="n">
        <v>46063</v>
      </c>
      <c r="W5" s="9" t="n"/>
      <c r="X5" s="14" t="inlineStr">
        <is>
          <t>Pending</t>
        </is>
      </c>
      <c r="Y5" s="9" t="n">
        <v>46044</v>
      </c>
      <c r="Z5" s="9" t="n"/>
      <c r="AA5" s="14" t="inlineStr">
        <is>
          <t>Not started</t>
        </is>
      </c>
      <c r="AB5" s="14" t="inlineStr">
        <is>
          <t>Not prescribed</t>
        </is>
      </c>
      <c r="AC5" s="9" t="n"/>
      <c r="AD5" s="14" t="inlineStr">
        <is>
          <t>Not checked this cycle</t>
        </is>
      </c>
      <c r="AE5" s="14" t="inlineStr">
        <is>
          <t>Not done</t>
        </is>
      </c>
      <c r="AF5" s="14" t="inlineStr">
        <is>
          <t>At risk — dietitian referral made</t>
        </is>
      </c>
      <c r="AG5" s="14" t="inlineStr">
        <is>
          <t>Hot flashes and fatigue after ADT initiation.</t>
        </is>
      </c>
    </row>
    <row r="6" ht="28.5" customHeight="1">
      <c r="A6" s="14" t="inlineStr">
        <is>
          <t>PCR-002</t>
        </is>
      </c>
      <c r="B6" s="14" t="inlineStr">
        <is>
          <t>Palliative / Symptomatic</t>
        </is>
      </c>
      <c r="C6" s="14" t="inlineStr">
        <is>
          <t>Reviewed — plan agreed</t>
        </is>
      </c>
      <c r="D6" s="9" t="n">
        <v>45902</v>
      </c>
      <c r="E6" s="14" t="inlineStr">
        <is>
          <t>Eligible — under screening</t>
        </is>
      </c>
      <c r="F6" s="9" t="n">
        <v>45905</v>
      </c>
      <c r="G6" s="14" t="inlineStr">
        <is>
          <t>GnRH Antagonist (Degarelix / Firmagon)</t>
        </is>
      </c>
      <c r="H6" s="14" t="n"/>
      <c r="I6" s="9" t="n">
        <v>45905</v>
      </c>
      <c r="J6" s="14" t="inlineStr">
        <is>
          <t>None</t>
        </is>
      </c>
      <c r="K6" s="14" t="inlineStr">
        <is>
          <t>Abiraterone + Prednisone (Zytiga / generic)</t>
        </is>
      </c>
      <c r="L6" s="14" t="inlineStr">
        <is>
          <t>22</t>
        </is>
      </c>
      <c r="M6" s="14" t="inlineStr">
        <is>
          <t>Not indicated / Not started</t>
        </is>
      </c>
      <c r="N6" s="3" t="n">
        <v>0</v>
      </c>
      <c r="O6" s="9" t="n"/>
      <c r="P6" s="14" t="inlineStr">
        <is>
          <t>Not planned</t>
        </is>
      </c>
      <c r="Q6" s="14" t="inlineStr">
        <is>
          <t>Completed</t>
        </is>
      </c>
      <c r="R6" s="14" t="inlineStr">
        <is>
          <t>3D-CRT</t>
        </is>
      </c>
      <c r="S6" s="14" t="n"/>
      <c r="T6" s="14" t="n"/>
      <c r="U6" s="14" t="inlineStr">
        <is>
          <t>Tata Memorial Centre</t>
        </is>
      </c>
      <c r="V6" s="9" t="n">
        <v>45920</v>
      </c>
      <c r="W6" s="9" t="n">
        <v>45930</v>
      </c>
      <c r="X6" s="14" t="inlineStr">
        <is>
          <t>Not required</t>
        </is>
      </c>
      <c r="Y6" s="9" t="n"/>
      <c r="Z6" s="9" t="n"/>
      <c r="AA6" s="14" t="inlineStr">
        <is>
          <t>Zoledronic acid 4 mg IV q3m</t>
        </is>
      </c>
      <c r="AB6" s="14" t="inlineStr">
        <is>
          <t>Calcium 500 mg + Vit D3 1000 IU OD</t>
        </is>
      </c>
      <c r="AC6" s="9" t="n">
        <v>46223</v>
      </c>
      <c r="AD6" s="14" t="inlineStr">
        <is>
          <t>Castrate confirmed (&lt;50 ng/dL)</t>
        </is>
      </c>
      <c r="AE6" s="14" t="inlineStr">
        <is>
          <t>Minimal (0–4)</t>
        </is>
      </c>
      <c r="AF6" s="14" t="inlineStr">
        <is>
          <t>Normal</t>
        </is>
      </c>
      <c r="AG6" s="14" t="inlineStr">
        <is>
          <t>Mild ankle edema on abiraterone; blood pressure monitored.</t>
        </is>
      </c>
    </row>
    <row r="7" ht="28.5" customHeight="1">
      <c r="A7" s="14" t="inlineStr">
        <is>
          <t>PCR-003</t>
        </is>
      </c>
      <c r="B7" s="14" t="inlineStr">
        <is>
          <t>Curative</t>
        </is>
      </c>
      <c r="C7" s="14" t="inlineStr">
        <is>
          <t>Reviewed — plan agreed</t>
        </is>
      </c>
      <c r="D7" s="9" t="n">
        <v>45925</v>
      </c>
      <c r="E7" s="14" t="inlineStr">
        <is>
          <t>Not screened</t>
        </is>
      </c>
      <c r="F7" s="9" t="n">
        <v>45932</v>
      </c>
      <c r="G7" s="14" t="inlineStr">
        <is>
          <t>LHRH Agonist (Leuprolide / Lupride)</t>
        </is>
      </c>
      <c r="H7" s="14" t="inlineStr">
        <is>
          <t>Leuprolide 22.5 mg depot (3-monthly)</t>
        </is>
      </c>
      <c r="I7" s="9" t="n">
        <v>45932</v>
      </c>
      <c r="J7" s="14" t="inlineStr">
        <is>
          <t>Bicalutamide 50 mg OD (flare cover)</t>
        </is>
      </c>
      <c r="K7" s="14" t="inlineStr">
        <is>
          <t>Not initiated</t>
        </is>
      </c>
      <c r="L7" s="14" t="inlineStr">
        <is>
          <t>31</t>
        </is>
      </c>
      <c r="M7" s="14" t="inlineStr">
        <is>
          <t>Not indicated / Not started</t>
        </is>
      </c>
      <c r="N7" s="3" t="n">
        <v>0</v>
      </c>
      <c r="O7" s="9" t="n"/>
      <c r="P7" s="14" t="inlineStr">
        <is>
          <t>Definitive RT (prostate ± LN)</t>
        </is>
      </c>
      <c r="Q7" s="14" t="inlineStr">
        <is>
          <t>Completed</t>
        </is>
      </c>
      <c r="R7" s="14" t="inlineStr">
        <is>
          <t>IMRT / VMAT</t>
        </is>
      </c>
      <c r="S7" s="14" t="inlineStr">
        <is>
          <t>Prostate + Whole Pelvis</t>
        </is>
      </c>
      <c r="T7" s="14" t="inlineStr">
        <is>
          <t>60 Gy / 20 fx (moderate hypofractionation)</t>
        </is>
      </c>
      <c r="U7" s="14" t="inlineStr">
        <is>
          <t>AIIMS New Delhi</t>
        </is>
      </c>
      <c r="V7" s="9" t="n">
        <v>45962</v>
      </c>
      <c r="W7" s="9" t="n">
        <v>45990</v>
      </c>
      <c r="X7" s="14" t="inlineStr">
        <is>
          <t>Not required</t>
        </is>
      </c>
      <c r="Y7" s="9" t="n"/>
      <c r="Z7" s="9" t="n"/>
      <c r="AA7" s="14" t="inlineStr">
        <is>
          <t>Not started</t>
        </is>
      </c>
      <c r="AB7" s="14" t="inlineStr">
        <is>
          <t>Calcium 500 mg + Vit D3 1000 IU OD</t>
        </is>
      </c>
      <c r="AC7" s="9" t="n">
        <v>46228</v>
      </c>
      <c r="AD7" s="14" t="inlineStr">
        <is>
          <t>Castrate confirmed (&lt;50 ng/dL)</t>
        </is>
      </c>
      <c r="AE7" s="14" t="inlineStr">
        <is>
          <t>Mild (5–9)</t>
        </is>
      </c>
      <c r="AF7" s="14" t="inlineStr">
        <is>
          <t>Normal</t>
        </is>
      </c>
      <c r="AG7" s="14" t="inlineStr">
        <is>
          <t>Urinary urgency during RT, now improving.</t>
        </is>
      </c>
    </row>
    <row r="8" ht="57" customHeight="1">
      <c r="A8" s="14" t="inlineStr">
        <is>
          <t>PCR-004</t>
        </is>
      </c>
      <c r="B8" s="14" t="inlineStr">
        <is>
          <t>Palliative / Symptomatic</t>
        </is>
      </c>
      <c r="C8" s="14" t="inlineStr">
        <is>
          <t>Reviewed — plan agreed</t>
        </is>
      </c>
      <c r="D8" s="9" t="n">
        <v>46152</v>
      </c>
      <c r="E8" s="14" t="inlineStr">
        <is>
          <t>Eligible — under screening</t>
        </is>
      </c>
      <c r="F8" s="9" t="n">
        <v>45097</v>
      </c>
      <c r="G8" s="14" t="inlineStr">
        <is>
          <t>Bilateral orchidectomy</t>
        </is>
      </c>
      <c r="H8" s="14" t="n"/>
      <c r="I8" s="9" t="n"/>
      <c r="J8" s="14" t="inlineStr">
        <is>
          <t>None</t>
        </is>
      </c>
      <c r="K8" s="14" t="inlineStr">
        <is>
          <t>Enzalutamide (Xtandi)</t>
        </is>
      </c>
      <c r="L8" s="14" t="inlineStr">
        <is>
          <t>18</t>
        </is>
      </c>
      <c r="M8" s="14" t="inlineStr">
        <is>
          <t>Docetaxel → Cabazitaxel (sequential)</t>
        </is>
      </c>
      <c r="N8" s="3" t="n">
        <v>6</v>
      </c>
      <c r="O8" s="9" t="n">
        <v>46172</v>
      </c>
      <c r="P8" s="14" t="inlineStr">
        <is>
          <t>Palliative RT (bone mets)</t>
        </is>
      </c>
      <c r="Q8" s="14" t="inlineStr">
        <is>
          <t>Active / Ongoing</t>
        </is>
      </c>
      <c r="R8" s="14" t="inlineStr">
        <is>
          <t>3D-CRT</t>
        </is>
      </c>
      <c r="S8" s="14" t="n"/>
      <c r="T8" s="14" t="n"/>
      <c r="U8" s="14" t="inlineStr">
        <is>
          <t>Govt. Regional Cancer Centre</t>
        </is>
      </c>
      <c r="V8" s="9" t="n">
        <v>46188</v>
      </c>
      <c r="W8" s="9" t="n"/>
      <c r="X8" s="14" t="inlineStr">
        <is>
          <t>Not required</t>
        </is>
      </c>
      <c r="Y8" s="9" t="n"/>
      <c r="Z8" s="9" t="n"/>
      <c r="AA8" s="14" t="inlineStr">
        <is>
          <t>Denosumab 120 mg SC q4w</t>
        </is>
      </c>
      <c r="AB8" s="14" t="inlineStr">
        <is>
          <t>Calcium 1000 mg + Vit D3 OD</t>
        </is>
      </c>
      <c r="AC8" s="9" t="n">
        <v>46233</v>
      </c>
      <c r="AD8" s="14" t="inlineStr">
        <is>
          <t>Castrate confirmed (&lt;50 ng/dL)</t>
        </is>
      </c>
      <c r="AE8" s="14" t="inlineStr">
        <is>
          <t>Moderate (10–14)</t>
        </is>
      </c>
      <c r="AF8" s="14" t="inlineStr">
        <is>
          <t>At risk — dietitian referral made</t>
        </is>
      </c>
      <c r="AG8" s="14" t="inlineStr">
        <is>
          <t>Grade 2 fatigue and peripheral neuropathy; cabazitaxel under consideration after docetaxel intolerance.</t>
        </is>
      </c>
    </row>
    <row r="9">
      <c r="A9" s="14" t="n"/>
      <c r="B9" s="14" t="n"/>
      <c r="C9" s="14" t="n"/>
      <c r="D9" s="9" t="n"/>
      <c r="E9" s="14" t="n"/>
      <c r="F9" s="9" t="n"/>
      <c r="G9" s="14" t="n"/>
      <c r="H9" s="14" t="n"/>
      <c r="I9" s="9" t="n"/>
      <c r="J9" s="14" t="n"/>
      <c r="K9" s="14" t="n"/>
      <c r="L9" s="14" t="n"/>
      <c r="M9" s="14" t="n"/>
      <c r="N9" s="3" t="n"/>
      <c r="O9" s="9" t="n"/>
      <c r="P9" s="14" t="n"/>
      <c r="Q9" s="14" t="n"/>
      <c r="R9" s="14" t="n"/>
      <c r="S9" s="14" t="n"/>
      <c r="T9" s="14" t="n"/>
      <c r="U9" s="14" t="n"/>
      <c r="V9" s="9" t="n"/>
      <c r="W9" s="9" t="n"/>
      <c r="X9" s="14" t="n"/>
      <c r="Y9" s="9" t="n"/>
      <c r="Z9" s="9" t="n"/>
      <c r="AA9" s="14" t="n"/>
      <c r="AB9" s="14" t="n"/>
      <c r="AC9" s="9" t="n"/>
      <c r="AD9" s="14" t="n"/>
      <c r="AE9" s="14" t="n"/>
      <c r="AF9" s="14" t="n"/>
      <c r="AG9" s="14" t="n"/>
    </row>
    <row r="10">
      <c r="A10" s="14" t="n"/>
      <c r="B10" s="14" t="n"/>
      <c r="C10" s="14" t="n"/>
      <c r="D10" s="9" t="n"/>
      <c r="E10" s="14" t="n"/>
      <c r="F10" s="9" t="n"/>
      <c r="G10" s="14" t="n"/>
      <c r="H10" s="14" t="n"/>
      <c r="I10" s="9" t="n"/>
      <c r="J10" s="14" t="n"/>
      <c r="K10" s="14" t="n"/>
      <c r="L10" s="14" t="n"/>
      <c r="M10" s="14" t="n"/>
      <c r="N10" s="3" t="n"/>
      <c r="O10" s="9" t="n"/>
      <c r="P10" s="14" t="n"/>
      <c r="Q10" s="14" t="n"/>
      <c r="R10" s="14" t="n"/>
      <c r="S10" s="14" t="n"/>
      <c r="T10" s="14" t="n"/>
      <c r="U10" s="14" t="n"/>
      <c r="V10" s="9" t="n"/>
      <c r="W10" s="9" t="n"/>
      <c r="X10" s="14" t="n"/>
      <c r="Y10" s="9" t="n"/>
      <c r="Z10" s="9" t="n"/>
      <c r="AA10" s="14" t="n"/>
      <c r="AB10" s="14" t="n"/>
      <c r="AC10" s="9" t="n"/>
      <c r="AD10" s="14" t="n"/>
      <c r="AE10" s="14" t="n"/>
      <c r="AF10" s="14" t="n"/>
      <c r="AG10" s="14" t="n"/>
    </row>
    <row r="11">
      <c r="A11" s="14" t="n"/>
      <c r="B11" s="14" t="n"/>
      <c r="C11" s="14" t="n"/>
      <c r="D11" s="9" t="n"/>
      <c r="E11" s="14" t="n"/>
      <c r="F11" s="9" t="n"/>
      <c r="G11" s="14" t="n"/>
      <c r="H11" s="14" t="n"/>
      <c r="I11" s="9" t="n"/>
      <c r="J11" s="14" t="n"/>
      <c r="K11" s="14" t="n"/>
      <c r="L11" s="14" t="n"/>
      <c r="M11" s="14" t="n"/>
      <c r="N11" s="3" t="n"/>
      <c r="O11" s="9" t="n"/>
      <c r="P11" s="14" t="n"/>
      <c r="Q11" s="14" t="n"/>
      <c r="R11" s="14" t="n"/>
      <c r="S11" s="14" t="n"/>
      <c r="T11" s="14" t="n"/>
      <c r="U11" s="14" t="n"/>
      <c r="V11" s="9" t="n"/>
      <c r="W11" s="9" t="n"/>
      <c r="X11" s="14" t="n"/>
      <c r="Y11" s="9" t="n"/>
      <c r="Z11" s="9" t="n"/>
      <c r="AA11" s="14" t="n"/>
      <c r="AB11" s="14" t="n"/>
      <c r="AC11" s="9" t="n"/>
      <c r="AD11" s="14" t="n"/>
      <c r="AE11" s="14" t="n"/>
      <c r="AF11" s="14" t="n"/>
      <c r="AG11" s="14" t="n"/>
    </row>
    <row r="12">
      <c r="A12" s="14" t="n"/>
      <c r="B12" s="14" t="n"/>
      <c r="C12" s="14" t="n"/>
      <c r="D12" s="9" t="n"/>
      <c r="E12" s="14" t="n"/>
      <c r="F12" s="9" t="n"/>
      <c r="G12" s="14" t="n"/>
      <c r="H12" s="14" t="n"/>
      <c r="I12" s="9" t="n"/>
      <c r="J12" s="14" t="n"/>
      <c r="K12" s="14" t="n"/>
      <c r="L12" s="14" t="n"/>
      <c r="M12" s="14" t="n"/>
      <c r="N12" s="3" t="n"/>
      <c r="O12" s="9" t="n"/>
      <c r="P12" s="14" t="n"/>
      <c r="Q12" s="14" t="n"/>
      <c r="R12" s="14" t="n"/>
      <c r="S12" s="14" t="n"/>
      <c r="T12" s="14" t="n"/>
      <c r="U12" s="14" t="n"/>
      <c r="V12" s="9" t="n"/>
      <c r="W12" s="9" t="n"/>
      <c r="X12" s="14" t="n"/>
      <c r="Y12" s="9" t="n"/>
      <c r="Z12" s="9" t="n"/>
      <c r="AA12" s="14" t="n"/>
      <c r="AB12" s="14" t="n"/>
      <c r="AC12" s="9" t="n"/>
      <c r="AD12" s="14" t="n"/>
      <c r="AE12" s="14" t="n"/>
      <c r="AF12" s="14" t="n"/>
      <c r="AG12" s="14" t="n"/>
    </row>
    <row r="13">
      <c r="A13" s="14" t="n"/>
      <c r="B13" s="14" t="n"/>
      <c r="C13" s="14" t="n"/>
      <c r="D13" s="9" t="n"/>
      <c r="E13" s="14" t="n"/>
      <c r="F13" s="9" t="n"/>
      <c r="G13" s="14" t="n"/>
      <c r="H13" s="14" t="n"/>
      <c r="I13" s="9" t="n"/>
      <c r="J13" s="14" t="n"/>
      <c r="K13" s="14" t="n"/>
      <c r="L13" s="14" t="n"/>
      <c r="M13" s="14" t="n"/>
      <c r="N13" s="3" t="n"/>
      <c r="O13" s="9" t="n"/>
      <c r="P13" s="14" t="n"/>
      <c r="Q13" s="14" t="n"/>
      <c r="R13" s="14" t="n"/>
      <c r="S13" s="14" t="n"/>
      <c r="T13" s="14" t="n"/>
      <c r="U13" s="14" t="n"/>
      <c r="V13" s="9" t="n"/>
      <c r="W13" s="9" t="n"/>
      <c r="X13" s="14" t="n"/>
      <c r="Y13" s="9" t="n"/>
      <c r="Z13" s="9" t="n"/>
      <c r="AA13" s="14" t="n"/>
      <c r="AB13" s="14" t="n"/>
      <c r="AC13" s="9" t="n"/>
      <c r="AD13" s="14" t="n"/>
      <c r="AE13" s="14" t="n"/>
      <c r="AF13" s="14" t="n"/>
      <c r="AG13" s="14" t="n"/>
    </row>
    <row r="14">
      <c r="A14" s="14" t="n"/>
      <c r="B14" s="14" t="n"/>
      <c r="C14" s="14" t="n"/>
      <c r="D14" s="9" t="n"/>
      <c r="E14" s="14" t="n"/>
      <c r="F14" s="9" t="n"/>
      <c r="G14" s="14" t="n"/>
      <c r="H14" s="14" t="n"/>
      <c r="I14" s="9" t="n"/>
      <c r="J14" s="14" t="n"/>
      <c r="K14" s="14" t="n"/>
      <c r="L14" s="14" t="n"/>
      <c r="M14" s="14" t="n"/>
      <c r="N14" s="3" t="n"/>
      <c r="O14" s="9" t="n"/>
      <c r="P14" s="14" t="n"/>
      <c r="Q14" s="14" t="n"/>
      <c r="R14" s="14" t="n"/>
      <c r="S14" s="14" t="n"/>
      <c r="T14" s="14" t="n"/>
      <c r="U14" s="14" t="n"/>
      <c r="V14" s="9" t="n"/>
      <c r="W14" s="9" t="n"/>
      <c r="X14" s="14" t="n"/>
      <c r="Y14" s="9" t="n"/>
      <c r="Z14" s="9" t="n"/>
      <c r="AA14" s="14" t="n"/>
      <c r="AB14" s="14" t="n"/>
      <c r="AC14" s="9" t="n"/>
      <c r="AD14" s="14" t="n"/>
      <c r="AE14" s="14" t="n"/>
      <c r="AF14" s="14" t="n"/>
      <c r="AG14" s="14" t="n"/>
    </row>
    <row r="15">
      <c r="A15" s="14" t="n"/>
      <c r="B15" s="14" t="n"/>
      <c r="C15" s="14" t="n"/>
      <c r="D15" s="9" t="n"/>
      <c r="E15" s="14" t="n"/>
      <c r="F15" s="9" t="n"/>
      <c r="G15" s="14" t="n"/>
      <c r="H15" s="14" t="n"/>
      <c r="I15" s="9" t="n"/>
      <c r="J15" s="14" t="n"/>
      <c r="K15" s="14" t="n"/>
      <c r="L15" s="14" t="n"/>
      <c r="M15" s="14" t="n"/>
      <c r="N15" s="3" t="n"/>
      <c r="O15" s="9" t="n"/>
      <c r="P15" s="14" t="n"/>
      <c r="Q15" s="14" t="n"/>
      <c r="R15" s="14" t="n"/>
      <c r="S15" s="14" t="n"/>
      <c r="T15" s="14" t="n"/>
      <c r="U15" s="14" t="n"/>
      <c r="V15" s="9" t="n"/>
      <c r="W15" s="9" t="n"/>
      <c r="X15" s="14" t="n"/>
      <c r="Y15" s="9" t="n"/>
      <c r="Z15" s="9" t="n"/>
      <c r="AA15" s="14" t="n"/>
      <c r="AB15" s="14" t="n"/>
      <c r="AC15" s="9" t="n"/>
      <c r="AD15" s="14" t="n"/>
      <c r="AE15" s="14" t="n"/>
      <c r="AF15" s="14" t="n"/>
      <c r="AG15" s="14" t="n"/>
    </row>
    <row r="16">
      <c r="A16" s="14" t="n"/>
      <c r="B16" s="14" t="n"/>
      <c r="C16" s="14" t="n"/>
      <c r="D16" s="9" t="n"/>
      <c r="E16" s="14" t="n"/>
      <c r="F16" s="9" t="n"/>
      <c r="G16" s="14" t="n"/>
      <c r="H16" s="14" t="n"/>
      <c r="I16" s="9" t="n"/>
      <c r="J16" s="14" t="n"/>
      <c r="K16" s="14" t="n"/>
      <c r="L16" s="14" t="n"/>
      <c r="M16" s="14" t="n"/>
      <c r="N16" s="3" t="n"/>
      <c r="O16" s="9" t="n"/>
      <c r="P16" s="14" t="n"/>
      <c r="Q16" s="14" t="n"/>
      <c r="R16" s="14" t="n"/>
      <c r="S16" s="14" t="n"/>
      <c r="T16" s="14" t="n"/>
      <c r="U16" s="14" t="n"/>
      <c r="V16" s="9" t="n"/>
      <c r="W16" s="9" t="n"/>
      <c r="X16" s="14" t="n"/>
      <c r="Y16" s="9" t="n"/>
      <c r="Z16" s="9" t="n"/>
      <c r="AA16" s="14" t="n"/>
      <c r="AB16" s="14" t="n"/>
      <c r="AC16" s="9" t="n"/>
      <c r="AD16" s="14" t="n"/>
      <c r="AE16" s="14" t="n"/>
      <c r="AF16" s="14" t="n"/>
      <c r="AG16" s="14" t="n"/>
    </row>
    <row r="17">
      <c r="A17" s="14" t="n"/>
      <c r="B17" s="14" t="n"/>
      <c r="C17" s="14" t="n"/>
      <c r="D17" s="9" t="n"/>
      <c r="E17" s="14" t="n"/>
      <c r="F17" s="9" t="n"/>
      <c r="G17" s="14" t="n"/>
      <c r="H17" s="14" t="n"/>
      <c r="I17" s="9" t="n"/>
      <c r="J17" s="14" t="n"/>
      <c r="K17" s="14" t="n"/>
      <c r="L17" s="14" t="n"/>
      <c r="M17" s="14" t="n"/>
      <c r="N17" s="3" t="n"/>
      <c r="O17" s="9" t="n"/>
      <c r="P17" s="14" t="n"/>
      <c r="Q17" s="14" t="n"/>
      <c r="R17" s="14" t="n"/>
      <c r="S17" s="14" t="n"/>
      <c r="T17" s="14" t="n"/>
      <c r="U17" s="14" t="n"/>
      <c r="V17" s="9" t="n"/>
      <c r="W17" s="9" t="n"/>
      <c r="X17" s="14" t="n"/>
      <c r="Y17" s="9" t="n"/>
      <c r="Z17" s="9" t="n"/>
      <c r="AA17" s="14" t="n"/>
      <c r="AB17" s="14" t="n"/>
      <c r="AC17" s="9" t="n"/>
      <c r="AD17" s="14" t="n"/>
      <c r="AE17" s="14" t="n"/>
      <c r="AF17" s="14" t="n"/>
      <c r="AG17" s="14" t="n"/>
    </row>
    <row r="18">
      <c r="A18" s="14" t="n"/>
      <c r="B18" s="14" t="n"/>
      <c r="C18" s="14" t="n"/>
      <c r="D18" s="9" t="n"/>
      <c r="E18" s="14" t="n"/>
      <c r="F18" s="9" t="n"/>
      <c r="G18" s="14" t="n"/>
      <c r="H18" s="14" t="n"/>
      <c r="I18" s="9" t="n"/>
      <c r="J18" s="14" t="n"/>
      <c r="K18" s="14" t="n"/>
      <c r="L18" s="14" t="n"/>
      <c r="M18" s="14" t="n"/>
      <c r="N18" s="3" t="n"/>
      <c r="O18" s="9" t="n"/>
      <c r="P18" s="14" t="n"/>
      <c r="Q18" s="14" t="n"/>
      <c r="R18" s="14" t="n"/>
      <c r="S18" s="14" t="n"/>
      <c r="T18" s="14" t="n"/>
      <c r="U18" s="14" t="n"/>
      <c r="V18" s="9" t="n"/>
      <c r="W18" s="9" t="n"/>
      <c r="X18" s="14" t="n"/>
      <c r="Y18" s="9" t="n"/>
      <c r="Z18" s="9" t="n"/>
      <c r="AA18" s="14" t="n"/>
      <c r="AB18" s="14" t="n"/>
      <c r="AC18" s="9" t="n"/>
      <c r="AD18" s="14" t="n"/>
      <c r="AE18" s="14" t="n"/>
      <c r="AF18" s="14" t="n"/>
      <c r="AG18" s="14" t="n"/>
    </row>
    <row r="19">
      <c r="A19" s="14" t="n"/>
      <c r="B19" s="14" t="n"/>
      <c r="C19" s="14" t="n"/>
      <c r="D19" s="9" t="n"/>
      <c r="E19" s="14" t="n"/>
      <c r="F19" s="9" t="n"/>
      <c r="G19" s="14" t="n"/>
      <c r="H19" s="14" t="n"/>
      <c r="I19" s="9" t="n"/>
      <c r="J19" s="14" t="n"/>
      <c r="K19" s="14" t="n"/>
      <c r="L19" s="14" t="n"/>
      <c r="M19" s="14" t="n"/>
      <c r="N19" s="3" t="n"/>
      <c r="O19" s="9" t="n"/>
      <c r="P19" s="14" t="n"/>
      <c r="Q19" s="14" t="n"/>
      <c r="R19" s="14" t="n"/>
      <c r="S19" s="14" t="n"/>
      <c r="T19" s="14" t="n"/>
      <c r="U19" s="14" t="n"/>
      <c r="V19" s="9" t="n"/>
      <c r="W19" s="9" t="n"/>
      <c r="X19" s="14" t="n"/>
      <c r="Y19" s="9" t="n"/>
      <c r="Z19" s="9" t="n"/>
      <c r="AA19" s="14" t="n"/>
      <c r="AB19" s="14" t="n"/>
      <c r="AC19" s="9" t="n"/>
      <c r="AD19" s="14" t="n"/>
      <c r="AE19" s="14" t="n"/>
      <c r="AF19" s="14" t="n"/>
      <c r="AG19" s="14" t="n"/>
    </row>
    <row r="20">
      <c r="A20" s="14" t="n"/>
      <c r="B20" s="14" t="n"/>
      <c r="C20" s="14" t="n"/>
      <c r="D20" s="9" t="n"/>
      <c r="E20" s="14" t="n"/>
      <c r="F20" s="9" t="n"/>
      <c r="G20" s="14" t="n"/>
      <c r="H20" s="14" t="n"/>
      <c r="I20" s="9" t="n"/>
      <c r="J20" s="14" t="n"/>
      <c r="K20" s="14" t="n"/>
      <c r="L20" s="14" t="n"/>
      <c r="M20" s="14" t="n"/>
      <c r="N20" s="3" t="n"/>
      <c r="O20" s="9" t="n"/>
      <c r="P20" s="14" t="n"/>
      <c r="Q20" s="14" t="n"/>
      <c r="R20" s="14" t="n"/>
      <c r="S20" s="14" t="n"/>
      <c r="T20" s="14" t="n"/>
      <c r="U20" s="14" t="n"/>
      <c r="V20" s="9" t="n"/>
      <c r="W20" s="9" t="n"/>
      <c r="X20" s="14" t="n"/>
      <c r="Y20" s="9" t="n"/>
      <c r="Z20" s="9" t="n"/>
      <c r="AA20" s="14" t="n"/>
      <c r="AB20" s="14" t="n"/>
      <c r="AC20" s="9" t="n"/>
      <c r="AD20" s="14" t="n"/>
      <c r="AE20" s="14" t="n"/>
      <c r="AF20" s="14" t="n"/>
      <c r="AG20" s="14" t="n"/>
    </row>
    <row r="21">
      <c r="A21" s="14" t="n"/>
      <c r="B21" s="14" t="n"/>
      <c r="C21" s="14" t="n"/>
      <c r="D21" s="9" t="n"/>
      <c r="E21" s="14" t="n"/>
      <c r="F21" s="9" t="n"/>
      <c r="G21" s="14" t="n"/>
      <c r="H21" s="14" t="n"/>
      <c r="I21" s="9" t="n"/>
      <c r="J21" s="14" t="n"/>
      <c r="K21" s="14" t="n"/>
      <c r="L21" s="14" t="n"/>
      <c r="M21" s="14" t="n"/>
      <c r="N21" s="3" t="n"/>
      <c r="O21" s="9" t="n"/>
      <c r="P21" s="14" t="n"/>
      <c r="Q21" s="14" t="n"/>
      <c r="R21" s="14" t="n"/>
      <c r="S21" s="14" t="n"/>
      <c r="T21" s="14" t="n"/>
      <c r="U21" s="14" t="n"/>
      <c r="V21" s="9" t="n"/>
      <c r="W21" s="9" t="n"/>
      <c r="X21" s="14" t="n"/>
      <c r="Y21" s="9" t="n"/>
      <c r="Z21" s="9" t="n"/>
      <c r="AA21" s="14" t="n"/>
      <c r="AB21" s="14" t="n"/>
      <c r="AC21" s="9" t="n"/>
      <c r="AD21" s="14" t="n"/>
      <c r="AE21" s="14" t="n"/>
      <c r="AF21" s="14" t="n"/>
      <c r="AG21" s="14" t="n"/>
    </row>
    <row r="22">
      <c r="A22" s="14" t="n"/>
      <c r="B22" s="14" t="n"/>
      <c r="C22" s="14" t="n"/>
      <c r="D22" s="9" t="n"/>
      <c r="E22" s="14" t="n"/>
      <c r="F22" s="9" t="n"/>
      <c r="G22" s="14" t="n"/>
      <c r="H22" s="14" t="n"/>
      <c r="I22" s="9" t="n"/>
      <c r="J22" s="14" t="n"/>
      <c r="K22" s="14" t="n"/>
      <c r="L22" s="14" t="n"/>
      <c r="M22" s="14" t="n"/>
      <c r="N22" s="3" t="n"/>
      <c r="O22" s="9" t="n"/>
      <c r="P22" s="14" t="n"/>
      <c r="Q22" s="14" t="n"/>
      <c r="R22" s="14" t="n"/>
      <c r="S22" s="14" t="n"/>
      <c r="T22" s="14" t="n"/>
      <c r="U22" s="14" t="n"/>
      <c r="V22" s="9" t="n"/>
      <c r="W22" s="9" t="n"/>
      <c r="X22" s="14" t="n"/>
      <c r="Y22" s="9" t="n"/>
      <c r="Z22" s="9" t="n"/>
      <c r="AA22" s="14" t="n"/>
      <c r="AB22" s="14" t="n"/>
      <c r="AC22" s="9" t="n"/>
      <c r="AD22" s="14" t="n"/>
      <c r="AE22" s="14" t="n"/>
      <c r="AF22" s="14" t="n"/>
      <c r="AG22" s="14" t="n"/>
    </row>
    <row r="23">
      <c r="A23" s="14" t="n"/>
      <c r="B23" s="14" t="n"/>
      <c r="C23" s="14" t="n"/>
      <c r="D23" s="9" t="n"/>
      <c r="E23" s="14" t="n"/>
      <c r="F23" s="9" t="n"/>
      <c r="G23" s="14" t="n"/>
      <c r="H23" s="14" t="n"/>
      <c r="I23" s="9" t="n"/>
      <c r="J23" s="14" t="n"/>
      <c r="K23" s="14" t="n"/>
      <c r="L23" s="14" t="n"/>
      <c r="M23" s="14" t="n"/>
      <c r="N23" s="3" t="n"/>
      <c r="O23" s="9" t="n"/>
      <c r="P23" s="14" t="n"/>
      <c r="Q23" s="14" t="n"/>
      <c r="R23" s="14" t="n"/>
      <c r="S23" s="14" t="n"/>
      <c r="T23" s="14" t="n"/>
      <c r="U23" s="14" t="n"/>
      <c r="V23" s="9" t="n"/>
      <c r="W23" s="9" t="n"/>
      <c r="X23" s="14" t="n"/>
      <c r="Y23" s="9" t="n"/>
      <c r="Z23" s="9" t="n"/>
      <c r="AA23" s="14" t="n"/>
      <c r="AB23" s="14" t="n"/>
      <c r="AC23" s="9" t="n"/>
      <c r="AD23" s="14" t="n"/>
      <c r="AE23" s="14" t="n"/>
      <c r="AF23" s="14" t="n"/>
      <c r="AG23" s="14" t="n"/>
    </row>
    <row r="24">
      <c r="A24" s="14" t="n"/>
      <c r="B24" s="14" t="n"/>
      <c r="C24" s="14" t="n"/>
      <c r="D24" s="9" t="n"/>
      <c r="E24" s="14" t="n"/>
      <c r="F24" s="9" t="n"/>
      <c r="G24" s="14" t="n"/>
      <c r="H24" s="14" t="n"/>
      <c r="I24" s="9" t="n"/>
      <c r="J24" s="14" t="n"/>
      <c r="K24" s="14" t="n"/>
      <c r="L24" s="14" t="n"/>
      <c r="M24" s="14" t="n"/>
      <c r="N24" s="3" t="n"/>
      <c r="O24" s="9" t="n"/>
      <c r="P24" s="14" t="n"/>
      <c r="Q24" s="14" t="n"/>
      <c r="R24" s="14" t="n"/>
      <c r="S24" s="14" t="n"/>
      <c r="T24" s="14" t="n"/>
      <c r="U24" s="14" t="n"/>
      <c r="V24" s="9" t="n"/>
      <c r="W24" s="9" t="n"/>
      <c r="X24" s="14" t="n"/>
      <c r="Y24" s="9" t="n"/>
      <c r="Z24" s="9" t="n"/>
      <c r="AA24" s="14" t="n"/>
      <c r="AB24" s="14" t="n"/>
      <c r="AC24" s="9" t="n"/>
      <c r="AD24" s="14" t="n"/>
      <c r="AE24" s="14" t="n"/>
      <c r="AF24" s="14" t="n"/>
      <c r="AG24" s="14" t="n"/>
    </row>
    <row r="25">
      <c r="A25" s="14" t="n"/>
      <c r="B25" s="14" t="n"/>
      <c r="C25" s="14" t="n"/>
      <c r="D25" s="9" t="n"/>
      <c r="E25" s="14" t="n"/>
      <c r="F25" s="9" t="n"/>
      <c r="G25" s="14" t="n"/>
      <c r="H25" s="14" t="n"/>
      <c r="I25" s="9" t="n"/>
      <c r="J25" s="14" t="n"/>
      <c r="K25" s="14" t="n"/>
      <c r="L25" s="14" t="n"/>
      <c r="M25" s="14" t="n"/>
      <c r="N25" s="3" t="n"/>
      <c r="O25" s="9" t="n"/>
      <c r="P25" s="14" t="n"/>
      <c r="Q25" s="14" t="n"/>
      <c r="R25" s="14" t="n"/>
      <c r="S25" s="14" t="n"/>
      <c r="T25" s="14" t="n"/>
      <c r="U25" s="14" t="n"/>
      <c r="V25" s="9" t="n"/>
      <c r="W25" s="9" t="n"/>
      <c r="X25" s="14" t="n"/>
      <c r="Y25" s="9" t="n"/>
      <c r="Z25" s="9" t="n"/>
      <c r="AA25" s="14" t="n"/>
      <c r="AB25" s="14" t="n"/>
      <c r="AC25" s="9" t="n"/>
      <c r="AD25" s="14" t="n"/>
      <c r="AE25" s="14" t="n"/>
      <c r="AF25" s="14" t="n"/>
      <c r="AG25" s="14" t="n"/>
    </row>
    <row r="26">
      <c r="A26" s="14" t="n"/>
      <c r="B26" s="14" t="n"/>
      <c r="C26" s="14" t="n"/>
      <c r="D26" s="9" t="n"/>
      <c r="E26" s="14" t="n"/>
      <c r="F26" s="9" t="n"/>
      <c r="G26" s="14" t="n"/>
      <c r="H26" s="14" t="n"/>
      <c r="I26" s="9" t="n"/>
      <c r="J26" s="14" t="n"/>
      <c r="K26" s="14" t="n"/>
      <c r="L26" s="14" t="n"/>
      <c r="M26" s="14" t="n"/>
      <c r="N26" s="3" t="n"/>
      <c r="O26" s="9" t="n"/>
      <c r="P26" s="14" t="n"/>
      <c r="Q26" s="14" t="n"/>
      <c r="R26" s="14" t="n"/>
      <c r="S26" s="14" t="n"/>
      <c r="T26" s="14" t="n"/>
      <c r="U26" s="14" t="n"/>
      <c r="V26" s="9" t="n"/>
      <c r="W26" s="9" t="n"/>
      <c r="X26" s="14" t="n"/>
      <c r="Y26" s="9" t="n"/>
      <c r="Z26" s="9" t="n"/>
      <c r="AA26" s="14" t="n"/>
      <c r="AB26" s="14" t="n"/>
      <c r="AC26" s="9" t="n"/>
      <c r="AD26" s="14" t="n"/>
      <c r="AE26" s="14" t="n"/>
      <c r="AF26" s="14" t="n"/>
      <c r="AG26" s="14" t="n"/>
    </row>
    <row r="27">
      <c r="A27" s="14" t="n"/>
      <c r="B27" s="14" t="n"/>
      <c r="C27" s="14" t="n"/>
      <c r="D27" s="9" t="n"/>
      <c r="E27" s="14" t="n"/>
      <c r="F27" s="9" t="n"/>
      <c r="G27" s="14" t="n"/>
      <c r="H27" s="14" t="n"/>
      <c r="I27" s="9" t="n"/>
      <c r="J27" s="14" t="n"/>
      <c r="K27" s="14" t="n"/>
      <c r="L27" s="14" t="n"/>
      <c r="M27" s="14" t="n"/>
      <c r="N27" s="3" t="n"/>
      <c r="O27" s="9" t="n"/>
      <c r="P27" s="14" t="n"/>
      <c r="Q27" s="14" t="n"/>
      <c r="R27" s="14" t="n"/>
      <c r="S27" s="14" t="n"/>
      <c r="T27" s="14" t="n"/>
      <c r="U27" s="14" t="n"/>
      <c r="V27" s="9" t="n"/>
      <c r="W27" s="9" t="n"/>
      <c r="X27" s="14" t="n"/>
      <c r="Y27" s="9" t="n"/>
      <c r="Z27" s="9" t="n"/>
      <c r="AA27" s="14" t="n"/>
      <c r="AB27" s="14" t="n"/>
      <c r="AC27" s="9" t="n"/>
      <c r="AD27" s="14" t="n"/>
      <c r="AE27" s="14" t="n"/>
      <c r="AF27" s="14" t="n"/>
      <c r="AG27" s="14" t="n"/>
    </row>
    <row r="28">
      <c r="A28" s="14" t="n"/>
      <c r="B28" s="14" t="n"/>
      <c r="C28" s="14" t="n"/>
      <c r="D28" s="9" t="n"/>
      <c r="E28" s="14" t="n"/>
      <c r="F28" s="9" t="n"/>
      <c r="G28" s="14" t="n"/>
      <c r="H28" s="14" t="n"/>
      <c r="I28" s="9" t="n"/>
      <c r="J28" s="14" t="n"/>
      <c r="K28" s="14" t="n"/>
      <c r="L28" s="14" t="n"/>
      <c r="M28" s="14" t="n"/>
      <c r="N28" s="3" t="n"/>
      <c r="O28" s="9" t="n"/>
      <c r="P28" s="14" t="n"/>
      <c r="Q28" s="14" t="n"/>
      <c r="R28" s="14" t="n"/>
      <c r="S28" s="14" t="n"/>
      <c r="T28" s="14" t="n"/>
      <c r="U28" s="14" t="n"/>
      <c r="V28" s="9" t="n"/>
      <c r="W28" s="9" t="n"/>
      <c r="X28" s="14" t="n"/>
      <c r="Y28" s="9" t="n"/>
      <c r="Z28" s="9" t="n"/>
      <c r="AA28" s="14" t="n"/>
      <c r="AB28" s="14" t="n"/>
      <c r="AC28" s="9" t="n"/>
      <c r="AD28" s="14" t="n"/>
      <c r="AE28" s="14" t="n"/>
      <c r="AF28" s="14" t="n"/>
      <c r="AG28" s="14" t="n"/>
    </row>
    <row r="29">
      <c r="A29" s="14" t="n"/>
      <c r="B29" s="14" t="n"/>
      <c r="C29" s="14" t="n"/>
      <c r="D29" s="9" t="n"/>
      <c r="E29" s="14" t="n"/>
      <c r="F29" s="9" t="n"/>
      <c r="G29" s="14" t="n"/>
      <c r="H29" s="14" t="n"/>
      <c r="I29" s="9" t="n"/>
      <c r="J29" s="14" t="n"/>
      <c r="K29" s="14" t="n"/>
      <c r="L29" s="14" t="n"/>
      <c r="M29" s="14" t="n"/>
      <c r="N29" s="3" t="n"/>
      <c r="O29" s="9" t="n"/>
      <c r="P29" s="14" t="n"/>
      <c r="Q29" s="14" t="n"/>
      <c r="R29" s="14" t="n"/>
      <c r="S29" s="14" t="n"/>
      <c r="T29" s="14" t="n"/>
      <c r="U29" s="14" t="n"/>
      <c r="V29" s="9" t="n"/>
      <c r="W29" s="9" t="n"/>
      <c r="X29" s="14" t="n"/>
      <c r="Y29" s="9" t="n"/>
      <c r="Z29" s="9" t="n"/>
      <c r="AA29" s="14" t="n"/>
      <c r="AB29" s="14" t="n"/>
      <c r="AC29" s="9" t="n"/>
      <c r="AD29" s="14" t="n"/>
      <c r="AE29" s="14" t="n"/>
      <c r="AF29" s="14" t="n"/>
      <c r="AG29" s="14" t="n"/>
    </row>
    <row r="30">
      <c r="A30" s="14" t="n"/>
      <c r="B30" s="14" t="n"/>
      <c r="C30" s="14" t="n"/>
      <c r="D30" s="9" t="n"/>
      <c r="E30" s="14" t="n"/>
      <c r="F30" s="9" t="n"/>
      <c r="G30" s="14" t="n"/>
      <c r="H30" s="14" t="n"/>
      <c r="I30" s="9" t="n"/>
      <c r="J30" s="14" t="n"/>
      <c r="K30" s="14" t="n"/>
      <c r="L30" s="14" t="n"/>
      <c r="M30" s="14" t="n"/>
      <c r="N30" s="3" t="n"/>
      <c r="O30" s="9" t="n"/>
      <c r="P30" s="14" t="n"/>
      <c r="Q30" s="14" t="n"/>
      <c r="R30" s="14" t="n"/>
      <c r="S30" s="14" t="n"/>
      <c r="T30" s="14" t="n"/>
      <c r="U30" s="14" t="n"/>
      <c r="V30" s="9" t="n"/>
      <c r="W30" s="9" t="n"/>
      <c r="X30" s="14" t="n"/>
      <c r="Y30" s="9" t="n"/>
      <c r="Z30" s="9" t="n"/>
      <c r="AA30" s="14" t="n"/>
      <c r="AB30" s="14" t="n"/>
      <c r="AC30" s="9" t="n"/>
      <c r="AD30" s="14" t="n"/>
      <c r="AE30" s="14" t="n"/>
      <c r="AF30" s="14" t="n"/>
      <c r="AG30" s="14" t="n"/>
    </row>
    <row r="31">
      <c r="A31" s="14" t="n"/>
      <c r="B31" s="14" t="n"/>
      <c r="C31" s="14" t="n"/>
      <c r="D31" s="9" t="n"/>
      <c r="E31" s="14" t="n"/>
      <c r="F31" s="9" t="n"/>
      <c r="G31" s="14" t="n"/>
      <c r="H31" s="14" t="n"/>
      <c r="I31" s="9" t="n"/>
      <c r="J31" s="14" t="n"/>
      <c r="K31" s="14" t="n"/>
      <c r="L31" s="14" t="n"/>
      <c r="M31" s="14" t="n"/>
      <c r="N31" s="3" t="n"/>
      <c r="O31" s="9" t="n"/>
      <c r="P31" s="14" t="n"/>
      <c r="Q31" s="14" t="n"/>
      <c r="R31" s="14" t="n"/>
      <c r="S31" s="14" t="n"/>
      <c r="T31" s="14" t="n"/>
      <c r="U31" s="14" t="n"/>
      <c r="V31" s="9" t="n"/>
      <c r="W31" s="9" t="n"/>
      <c r="X31" s="14" t="n"/>
      <c r="Y31" s="9" t="n"/>
      <c r="Z31" s="9" t="n"/>
      <c r="AA31" s="14" t="n"/>
      <c r="AB31" s="14" t="n"/>
      <c r="AC31" s="9" t="n"/>
      <c r="AD31" s="14" t="n"/>
      <c r="AE31" s="14" t="n"/>
      <c r="AF31" s="14" t="n"/>
      <c r="AG31" s="14" t="n"/>
    </row>
    <row r="32">
      <c r="A32" s="14" t="n"/>
      <c r="B32" s="14" t="n"/>
      <c r="C32" s="14" t="n"/>
      <c r="D32" s="9" t="n"/>
      <c r="E32" s="14" t="n"/>
      <c r="F32" s="9" t="n"/>
      <c r="G32" s="14" t="n"/>
      <c r="H32" s="14" t="n"/>
      <c r="I32" s="9" t="n"/>
      <c r="J32" s="14" t="n"/>
      <c r="K32" s="14" t="n"/>
      <c r="L32" s="14" t="n"/>
      <c r="M32" s="14" t="n"/>
      <c r="N32" s="3" t="n"/>
      <c r="O32" s="9" t="n"/>
      <c r="P32" s="14" t="n"/>
      <c r="Q32" s="14" t="n"/>
      <c r="R32" s="14" t="n"/>
      <c r="S32" s="14" t="n"/>
      <c r="T32" s="14" t="n"/>
      <c r="U32" s="14" t="n"/>
      <c r="V32" s="9" t="n"/>
      <c r="W32" s="9" t="n"/>
      <c r="X32" s="14" t="n"/>
      <c r="Y32" s="9" t="n"/>
      <c r="Z32" s="9" t="n"/>
      <c r="AA32" s="14" t="n"/>
      <c r="AB32" s="14" t="n"/>
      <c r="AC32" s="9" t="n"/>
      <c r="AD32" s="14" t="n"/>
      <c r="AE32" s="14" t="n"/>
      <c r="AF32" s="14" t="n"/>
      <c r="AG32" s="14" t="n"/>
    </row>
    <row r="33">
      <c r="A33" s="14" t="n"/>
      <c r="B33" s="14" t="n"/>
      <c r="C33" s="14" t="n"/>
      <c r="D33" s="9" t="n"/>
      <c r="E33" s="14" t="n"/>
      <c r="F33" s="9" t="n"/>
      <c r="G33" s="14" t="n"/>
      <c r="H33" s="14" t="n"/>
      <c r="I33" s="9" t="n"/>
      <c r="J33" s="14" t="n"/>
      <c r="K33" s="14" t="n"/>
      <c r="L33" s="14" t="n"/>
      <c r="M33" s="14" t="n"/>
      <c r="N33" s="3" t="n"/>
      <c r="O33" s="9" t="n"/>
      <c r="P33" s="14" t="n"/>
      <c r="Q33" s="14" t="n"/>
      <c r="R33" s="14" t="n"/>
      <c r="S33" s="14" t="n"/>
      <c r="T33" s="14" t="n"/>
      <c r="U33" s="14" t="n"/>
      <c r="V33" s="9" t="n"/>
      <c r="W33" s="9" t="n"/>
      <c r="X33" s="14" t="n"/>
      <c r="Y33" s="9" t="n"/>
      <c r="Z33" s="9" t="n"/>
      <c r="AA33" s="14" t="n"/>
      <c r="AB33" s="14" t="n"/>
      <c r="AC33" s="9" t="n"/>
      <c r="AD33" s="14" t="n"/>
      <c r="AE33" s="14" t="n"/>
      <c r="AF33" s="14" t="n"/>
      <c r="AG33" s="14" t="n"/>
    </row>
    <row r="34">
      <c r="A34" s="14" t="n"/>
      <c r="B34" s="14" t="n"/>
      <c r="C34" s="14" t="n"/>
      <c r="D34" s="9" t="n"/>
      <c r="E34" s="14" t="n"/>
      <c r="F34" s="9" t="n"/>
      <c r="G34" s="14" t="n"/>
      <c r="H34" s="14" t="n"/>
      <c r="I34" s="9" t="n"/>
      <c r="J34" s="14" t="n"/>
      <c r="K34" s="14" t="n"/>
      <c r="L34" s="14" t="n"/>
      <c r="M34" s="14" t="n"/>
      <c r="N34" s="3" t="n"/>
      <c r="O34" s="9" t="n"/>
      <c r="P34" s="14" t="n"/>
      <c r="Q34" s="14" t="n"/>
      <c r="R34" s="14" t="n"/>
      <c r="S34" s="14" t="n"/>
      <c r="T34" s="14" t="n"/>
      <c r="U34" s="14" t="n"/>
      <c r="V34" s="9" t="n"/>
      <c r="W34" s="9" t="n"/>
      <c r="X34" s="14" t="n"/>
      <c r="Y34" s="9" t="n"/>
      <c r="Z34" s="9" t="n"/>
      <c r="AA34" s="14" t="n"/>
      <c r="AB34" s="14" t="n"/>
      <c r="AC34" s="9" t="n"/>
      <c r="AD34" s="14" t="n"/>
      <c r="AE34" s="14" t="n"/>
      <c r="AF34" s="14" t="n"/>
      <c r="AG34" s="14" t="n"/>
    </row>
    <row r="35">
      <c r="A35" s="14" t="n"/>
      <c r="B35" s="14" t="n"/>
      <c r="C35" s="14" t="n"/>
      <c r="D35" s="9" t="n"/>
      <c r="E35" s="14" t="n"/>
      <c r="F35" s="9" t="n"/>
      <c r="G35" s="14" t="n"/>
      <c r="H35" s="14" t="n"/>
      <c r="I35" s="9" t="n"/>
      <c r="J35" s="14" t="n"/>
      <c r="K35" s="14" t="n"/>
      <c r="L35" s="14" t="n"/>
      <c r="M35" s="14" t="n"/>
      <c r="N35" s="3" t="n"/>
      <c r="O35" s="9" t="n"/>
      <c r="P35" s="14" t="n"/>
      <c r="Q35" s="14" t="n"/>
      <c r="R35" s="14" t="n"/>
      <c r="S35" s="14" t="n"/>
      <c r="T35" s="14" t="n"/>
      <c r="U35" s="14" t="n"/>
      <c r="V35" s="9" t="n"/>
      <c r="W35" s="9" t="n"/>
      <c r="X35" s="14" t="n"/>
      <c r="Y35" s="9" t="n"/>
      <c r="Z35" s="9" t="n"/>
      <c r="AA35" s="14" t="n"/>
      <c r="AB35" s="14" t="n"/>
      <c r="AC35" s="9" t="n"/>
      <c r="AD35" s="14" t="n"/>
      <c r="AE35" s="14" t="n"/>
      <c r="AF35" s="14" t="n"/>
      <c r="AG35" s="14" t="n"/>
    </row>
    <row r="36">
      <c r="A36" s="14" t="n"/>
      <c r="B36" s="14" t="n"/>
      <c r="C36" s="14" t="n"/>
      <c r="D36" s="9" t="n"/>
      <c r="E36" s="14" t="n"/>
      <c r="F36" s="9" t="n"/>
      <c r="G36" s="14" t="n"/>
      <c r="H36" s="14" t="n"/>
      <c r="I36" s="9" t="n"/>
      <c r="J36" s="14" t="n"/>
      <c r="K36" s="14" t="n"/>
      <c r="L36" s="14" t="n"/>
      <c r="M36" s="14" t="n"/>
      <c r="N36" s="3" t="n"/>
      <c r="O36" s="9" t="n"/>
      <c r="P36" s="14" t="n"/>
      <c r="Q36" s="14" t="n"/>
      <c r="R36" s="14" t="n"/>
      <c r="S36" s="14" t="n"/>
      <c r="T36" s="14" t="n"/>
      <c r="U36" s="14" t="n"/>
      <c r="V36" s="9" t="n"/>
      <c r="W36" s="9" t="n"/>
      <c r="X36" s="14" t="n"/>
      <c r="Y36" s="9" t="n"/>
      <c r="Z36" s="9" t="n"/>
      <c r="AA36" s="14" t="n"/>
      <c r="AB36" s="14" t="n"/>
      <c r="AC36" s="9" t="n"/>
      <c r="AD36" s="14" t="n"/>
      <c r="AE36" s="14" t="n"/>
      <c r="AF36" s="14" t="n"/>
      <c r="AG36" s="14" t="n"/>
    </row>
    <row r="37">
      <c r="A37" s="14" t="n"/>
      <c r="B37" s="14" t="n"/>
      <c r="C37" s="14" t="n"/>
      <c r="D37" s="9" t="n"/>
      <c r="E37" s="14" t="n"/>
      <c r="F37" s="9" t="n"/>
      <c r="G37" s="14" t="n"/>
      <c r="H37" s="14" t="n"/>
      <c r="I37" s="9" t="n"/>
      <c r="J37" s="14" t="n"/>
      <c r="K37" s="14" t="n"/>
      <c r="L37" s="14" t="n"/>
      <c r="M37" s="14" t="n"/>
      <c r="N37" s="3" t="n"/>
      <c r="O37" s="9" t="n"/>
      <c r="P37" s="14" t="n"/>
      <c r="Q37" s="14" t="n"/>
      <c r="R37" s="14" t="n"/>
      <c r="S37" s="14" t="n"/>
      <c r="T37" s="14" t="n"/>
      <c r="U37" s="14" t="n"/>
      <c r="V37" s="9" t="n"/>
      <c r="W37" s="9" t="n"/>
      <c r="X37" s="14" t="n"/>
      <c r="Y37" s="9" t="n"/>
      <c r="Z37" s="9" t="n"/>
      <c r="AA37" s="14" t="n"/>
      <c r="AB37" s="14" t="n"/>
      <c r="AC37" s="9" t="n"/>
      <c r="AD37" s="14" t="n"/>
      <c r="AE37" s="14" t="n"/>
      <c r="AF37" s="14" t="n"/>
      <c r="AG37" s="14" t="n"/>
    </row>
    <row r="38">
      <c r="A38" s="14" t="n"/>
      <c r="B38" s="14" t="n"/>
      <c r="C38" s="14" t="n"/>
      <c r="D38" s="9" t="n"/>
      <c r="E38" s="14" t="n"/>
      <c r="F38" s="9" t="n"/>
      <c r="G38" s="14" t="n"/>
      <c r="H38" s="14" t="n"/>
      <c r="I38" s="9" t="n"/>
      <c r="J38" s="14" t="n"/>
      <c r="K38" s="14" t="n"/>
      <c r="L38" s="14" t="n"/>
      <c r="M38" s="14" t="n"/>
      <c r="N38" s="3" t="n"/>
      <c r="O38" s="9" t="n"/>
      <c r="P38" s="14" t="n"/>
      <c r="Q38" s="14" t="n"/>
      <c r="R38" s="14" t="n"/>
      <c r="S38" s="14" t="n"/>
      <c r="T38" s="14" t="n"/>
      <c r="U38" s="14" t="n"/>
      <c r="V38" s="9" t="n"/>
      <c r="W38" s="9" t="n"/>
      <c r="X38" s="14" t="n"/>
      <c r="Y38" s="9" t="n"/>
      <c r="Z38" s="9" t="n"/>
      <c r="AA38" s="14" t="n"/>
      <c r="AB38" s="14" t="n"/>
      <c r="AC38" s="9" t="n"/>
      <c r="AD38" s="14" t="n"/>
      <c r="AE38" s="14" t="n"/>
      <c r="AF38" s="14" t="n"/>
      <c r="AG38" s="14" t="n"/>
    </row>
    <row r="39">
      <c r="A39" s="14" t="n"/>
      <c r="B39" s="14" t="n"/>
      <c r="C39" s="14" t="n"/>
      <c r="D39" s="9" t="n"/>
      <c r="E39" s="14" t="n"/>
      <c r="F39" s="9" t="n"/>
      <c r="G39" s="14" t="n"/>
      <c r="H39" s="14" t="n"/>
      <c r="I39" s="9" t="n"/>
      <c r="J39" s="14" t="n"/>
      <c r="K39" s="14" t="n"/>
      <c r="L39" s="14" t="n"/>
      <c r="M39" s="14" t="n"/>
      <c r="N39" s="3" t="n"/>
      <c r="O39" s="9" t="n"/>
      <c r="P39" s="14" t="n"/>
      <c r="Q39" s="14" t="n"/>
      <c r="R39" s="14" t="n"/>
      <c r="S39" s="14" t="n"/>
      <c r="T39" s="14" t="n"/>
      <c r="U39" s="14" t="n"/>
      <c r="V39" s="9" t="n"/>
      <c r="W39" s="9" t="n"/>
      <c r="X39" s="14" t="n"/>
      <c r="Y39" s="9" t="n"/>
      <c r="Z39" s="9" t="n"/>
      <c r="AA39" s="14" t="n"/>
      <c r="AB39" s="14" t="n"/>
      <c r="AC39" s="9" t="n"/>
      <c r="AD39" s="14" t="n"/>
      <c r="AE39" s="14" t="n"/>
      <c r="AF39" s="14" t="n"/>
      <c r="AG39" s="14" t="n"/>
    </row>
    <row r="40">
      <c r="A40" s="14" t="n"/>
      <c r="B40" s="14" t="n"/>
      <c r="C40" s="14" t="n"/>
      <c r="D40" s="9" t="n"/>
      <c r="E40" s="14" t="n"/>
      <c r="F40" s="9" t="n"/>
      <c r="G40" s="14" t="n"/>
      <c r="H40" s="14" t="n"/>
      <c r="I40" s="9" t="n"/>
      <c r="J40" s="14" t="n"/>
      <c r="K40" s="14" t="n"/>
      <c r="L40" s="14" t="n"/>
      <c r="M40" s="14" t="n"/>
      <c r="N40" s="3" t="n"/>
      <c r="O40" s="9" t="n"/>
      <c r="P40" s="14" t="n"/>
      <c r="Q40" s="14" t="n"/>
      <c r="R40" s="14" t="n"/>
      <c r="S40" s="14" t="n"/>
      <c r="T40" s="14" t="n"/>
      <c r="U40" s="14" t="n"/>
      <c r="V40" s="9" t="n"/>
      <c r="W40" s="9" t="n"/>
      <c r="X40" s="14" t="n"/>
      <c r="Y40" s="9" t="n"/>
      <c r="Z40" s="9" t="n"/>
      <c r="AA40" s="14" t="n"/>
      <c r="AB40" s="14" t="n"/>
      <c r="AC40" s="9" t="n"/>
      <c r="AD40" s="14" t="n"/>
      <c r="AE40" s="14" t="n"/>
      <c r="AF40" s="14" t="n"/>
      <c r="AG40" s="14" t="n"/>
    </row>
    <row r="41">
      <c r="A41" s="14" t="n"/>
      <c r="B41" s="14" t="n"/>
      <c r="C41" s="14" t="n"/>
      <c r="D41" s="9" t="n"/>
      <c r="E41" s="14" t="n"/>
      <c r="F41" s="9" t="n"/>
      <c r="G41" s="14" t="n"/>
      <c r="H41" s="14" t="n"/>
      <c r="I41" s="9" t="n"/>
      <c r="J41" s="14" t="n"/>
      <c r="K41" s="14" t="n"/>
      <c r="L41" s="14" t="n"/>
      <c r="M41" s="14" t="n"/>
      <c r="N41" s="3" t="n"/>
      <c r="O41" s="9" t="n"/>
      <c r="P41" s="14" t="n"/>
      <c r="Q41" s="14" t="n"/>
      <c r="R41" s="14" t="n"/>
      <c r="S41" s="14" t="n"/>
      <c r="T41" s="14" t="n"/>
      <c r="U41" s="14" t="n"/>
      <c r="V41" s="9" t="n"/>
      <c r="W41" s="9" t="n"/>
      <c r="X41" s="14" t="n"/>
      <c r="Y41" s="9" t="n"/>
      <c r="Z41" s="9" t="n"/>
      <c r="AA41" s="14" t="n"/>
      <c r="AB41" s="14" t="n"/>
      <c r="AC41" s="9" t="n"/>
      <c r="AD41" s="14" t="n"/>
      <c r="AE41" s="14" t="n"/>
      <c r="AF41" s="14" t="n"/>
      <c r="AG41" s="14" t="n"/>
    </row>
    <row r="42">
      <c r="A42" s="14" t="n"/>
      <c r="B42" s="14" t="n"/>
      <c r="C42" s="14" t="n"/>
      <c r="D42" s="9" t="n"/>
      <c r="E42" s="14" t="n"/>
      <c r="F42" s="9" t="n"/>
      <c r="G42" s="14" t="n"/>
      <c r="H42" s="14" t="n"/>
      <c r="I42" s="9" t="n"/>
      <c r="J42" s="14" t="n"/>
      <c r="K42" s="14" t="n"/>
      <c r="L42" s="14" t="n"/>
      <c r="M42" s="14" t="n"/>
      <c r="N42" s="3" t="n"/>
      <c r="O42" s="9" t="n"/>
      <c r="P42" s="14" t="n"/>
      <c r="Q42" s="14" t="n"/>
      <c r="R42" s="14" t="n"/>
      <c r="S42" s="14" t="n"/>
      <c r="T42" s="14" t="n"/>
      <c r="U42" s="14" t="n"/>
      <c r="V42" s="9" t="n"/>
      <c r="W42" s="9" t="n"/>
      <c r="X42" s="14" t="n"/>
      <c r="Y42" s="9" t="n"/>
      <c r="Z42" s="9" t="n"/>
      <c r="AA42" s="14" t="n"/>
      <c r="AB42" s="14" t="n"/>
      <c r="AC42" s="9" t="n"/>
      <c r="AD42" s="14" t="n"/>
      <c r="AE42" s="14" t="n"/>
      <c r="AF42" s="14" t="n"/>
      <c r="AG42" s="14" t="n"/>
    </row>
    <row r="43">
      <c r="A43" s="14" t="n"/>
      <c r="B43" s="14" t="n"/>
      <c r="C43" s="14" t="n"/>
      <c r="D43" s="9" t="n"/>
      <c r="E43" s="14" t="n"/>
      <c r="F43" s="9" t="n"/>
      <c r="G43" s="14" t="n"/>
      <c r="H43" s="14" t="n"/>
      <c r="I43" s="9" t="n"/>
      <c r="J43" s="14" t="n"/>
      <c r="K43" s="14" t="n"/>
      <c r="L43" s="14" t="n"/>
      <c r="M43" s="14" t="n"/>
      <c r="N43" s="3" t="n"/>
      <c r="O43" s="9" t="n"/>
      <c r="P43" s="14" t="n"/>
      <c r="Q43" s="14" t="n"/>
      <c r="R43" s="14" t="n"/>
      <c r="S43" s="14" t="n"/>
      <c r="T43" s="14" t="n"/>
      <c r="U43" s="14" t="n"/>
      <c r="V43" s="9" t="n"/>
      <c r="W43" s="9" t="n"/>
      <c r="X43" s="14" t="n"/>
      <c r="Y43" s="9" t="n"/>
      <c r="Z43" s="9" t="n"/>
      <c r="AA43" s="14" t="n"/>
      <c r="AB43" s="14" t="n"/>
      <c r="AC43" s="9" t="n"/>
      <c r="AD43" s="14" t="n"/>
      <c r="AE43" s="14" t="n"/>
      <c r="AF43" s="14" t="n"/>
      <c r="AG43" s="14" t="n"/>
    </row>
    <row r="44">
      <c r="A44" s="14" t="n"/>
      <c r="B44" s="14" t="n"/>
      <c r="C44" s="14" t="n"/>
      <c r="D44" s="9" t="n"/>
      <c r="E44" s="14" t="n"/>
      <c r="F44" s="9" t="n"/>
      <c r="G44" s="14" t="n"/>
      <c r="H44" s="14" t="n"/>
      <c r="I44" s="9" t="n"/>
      <c r="J44" s="14" t="n"/>
      <c r="K44" s="14" t="n"/>
      <c r="L44" s="14" t="n"/>
      <c r="M44" s="14" t="n"/>
      <c r="N44" s="3" t="n"/>
      <c r="O44" s="9" t="n"/>
      <c r="P44" s="14" t="n"/>
      <c r="Q44" s="14" t="n"/>
      <c r="R44" s="14" t="n"/>
      <c r="S44" s="14" t="n"/>
      <c r="T44" s="14" t="n"/>
      <c r="U44" s="14" t="n"/>
      <c r="V44" s="9" t="n"/>
      <c r="W44" s="9" t="n"/>
      <c r="X44" s="14" t="n"/>
      <c r="Y44" s="9" t="n"/>
      <c r="Z44" s="9" t="n"/>
      <c r="AA44" s="14" t="n"/>
      <c r="AB44" s="14" t="n"/>
      <c r="AC44" s="9" t="n"/>
      <c r="AD44" s="14" t="n"/>
      <c r="AE44" s="14" t="n"/>
      <c r="AF44" s="14" t="n"/>
      <c r="AG44" s="14" t="n"/>
    </row>
    <row r="45">
      <c r="A45" s="14" t="n"/>
      <c r="B45" s="14" t="n"/>
      <c r="C45" s="14" t="n"/>
      <c r="D45" s="9" t="n"/>
      <c r="E45" s="14" t="n"/>
      <c r="F45" s="9" t="n"/>
      <c r="G45" s="14" t="n"/>
      <c r="H45" s="14" t="n"/>
      <c r="I45" s="9" t="n"/>
      <c r="J45" s="14" t="n"/>
      <c r="K45" s="14" t="n"/>
      <c r="L45" s="14" t="n"/>
      <c r="M45" s="14" t="n"/>
      <c r="N45" s="3" t="n"/>
      <c r="O45" s="9" t="n"/>
      <c r="P45" s="14" t="n"/>
      <c r="Q45" s="14" t="n"/>
      <c r="R45" s="14" t="n"/>
      <c r="S45" s="14" t="n"/>
      <c r="T45" s="14" t="n"/>
      <c r="U45" s="14" t="n"/>
      <c r="V45" s="9" t="n"/>
      <c r="W45" s="9" t="n"/>
      <c r="X45" s="14" t="n"/>
      <c r="Y45" s="9" t="n"/>
      <c r="Z45" s="9" t="n"/>
      <c r="AA45" s="14" t="n"/>
      <c r="AB45" s="14" t="n"/>
      <c r="AC45" s="9" t="n"/>
      <c r="AD45" s="14" t="n"/>
      <c r="AE45" s="14" t="n"/>
      <c r="AF45" s="14" t="n"/>
      <c r="AG45" s="14" t="n"/>
    </row>
    <row r="46">
      <c r="A46" s="14" t="n"/>
      <c r="B46" s="14" t="n"/>
      <c r="C46" s="14" t="n"/>
      <c r="D46" s="9" t="n"/>
      <c r="E46" s="14" t="n"/>
      <c r="F46" s="9" t="n"/>
      <c r="G46" s="14" t="n"/>
      <c r="H46" s="14" t="n"/>
      <c r="I46" s="9" t="n"/>
      <c r="J46" s="14" t="n"/>
      <c r="K46" s="14" t="n"/>
      <c r="L46" s="14" t="n"/>
      <c r="M46" s="14" t="n"/>
      <c r="N46" s="3" t="n"/>
      <c r="O46" s="9" t="n"/>
      <c r="P46" s="14" t="n"/>
      <c r="Q46" s="14" t="n"/>
      <c r="R46" s="14" t="n"/>
      <c r="S46" s="14" t="n"/>
      <c r="T46" s="14" t="n"/>
      <c r="U46" s="14" t="n"/>
      <c r="V46" s="9" t="n"/>
      <c r="W46" s="9" t="n"/>
      <c r="X46" s="14" t="n"/>
      <c r="Y46" s="9" t="n"/>
      <c r="Z46" s="9" t="n"/>
      <c r="AA46" s="14" t="n"/>
      <c r="AB46" s="14" t="n"/>
      <c r="AC46" s="9" t="n"/>
      <c r="AD46" s="14" t="n"/>
      <c r="AE46" s="14" t="n"/>
      <c r="AF46" s="14" t="n"/>
      <c r="AG46" s="14" t="n"/>
    </row>
    <row r="47">
      <c r="A47" s="14" t="n"/>
      <c r="B47" s="14" t="n"/>
      <c r="C47" s="14" t="n"/>
      <c r="D47" s="9" t="n"/>
      <c r="E47" s="14" t="n"/>
      <c r="F47" s="9" t="n"/>
      <c r="G47" s="14" t="n"/>
      <c r="H47" s="14" t="n"/>
      <c r="I47" s="9" t="n"/>
      <c r="J47" s="14" t="n"/>
      <c r="K47" s="14" t="n"/>
      <c r="L47" s="14" t="n"/>
      <c r="M47" s="14" t="n"/>
      <c r="N47" s="3" t="n"/>
      <c r="O47" s="9" t="n"/>
      <c r="P47" s="14" t="n"/>
      <c r="Q47" s="14" t="n"/>
      <c r="R47" s="14" t="n"/>
      <c r="S47" s="14" t="n"/>
      <c r="T47" s="14" t="n"/>
      <c r="U47" s="14" t="n"/>
      <c r="V47" s="9" t="n"/>
      <c r="W47" s="9" t="n"/>
      <c r="X47" s="14" t="n"/>
      <c r="Y47" s="9" t="n"/>
      <c r="Z47" s="9" t="n"/>
      <c r="AA47" s="14" t="n"/>
      <c r="AB47" s="14" t="n"/>
      <c r="AC47" s="9" t="n"/>
      <c r="AD47" s="14" t="n"/>
      <c r="AE47" s="14" t="n"/>
      <c r="AF47" s="14" t="n"/>
      <c r="AG47" s="14" t="n"/>
    </row>
    <row r="48">
      <c r="A48" s="14" t="n"/>
      <c r="B48" s="14" t="n"/>
      <c r="C48" s="14" t="n"/>
      <c r="D48" s="9" t="n"/>
      <c r="E48" s="14" t="n"/>
      <c r="F48" s="9" t="n"/>
      <c r="G48" s="14" t="n"/>
      <c r="H48" s="14" t="n"/>
      <c r="I48" s="9" t="n"/>
      <c r="J48" s="14" t="n"/>
      <c r="K48" s="14" t="n"/>
      <c r="L48" s="14" t="n"/>
      <c r="M48" s="14" t="n"/>
      <c r="N48" s="3" t="n"/>
      <c r="O48" s="9" t="n"/>
      <c r="P48" s="14" t="n"/>
      <c r="Q48" s="14" t="n"/>
      <c r="R48" s="14" t="n"/>
      <c r="S48" s="14" t="n"/>
      <c r="T48" s="14" t="n"/>
      <c r="U48" s="14" t="n"/>
      <c r="V48" s="9" t="n"/>
      <c r="W48" s="9" t="n"/>
      <c r="X48" s="14" t="n"/>
      <c r="Y48" s="9" t="n"/>
      <c r="Z48" s="9" t="n"/>
      <c r="AA48" s="14" t="n"/>
      <c r="AB48" s="14" t="n"/>
      <c r="AC48" s="9" t="n"/>
      <c r="AD48" s="14" t="n"/>
      <c r="AE48" s="14" t="n"/>
      <c r="AF48" s="14" t="n"/>
      <c r="AG48" s="14" t="n"/>
    </row>
    <row r="49">
      <c r="A49" s="14" t="n"/>
      <c r="B49" s="14" t="n"/>
      <c r="C49" s="14" t="n"/>
      <c r="D49" s="9" t="n"/>
      <c r="E49" s="14" t="n"/>
      <c r="F49" s="9" t="n"/>
      <c r="G49" s="14" t="n"/>
      <c r="H49" s="14" t="n"/>
      <c r="I49" s="9" t="n"/>
      <c r="J49" s="14" t="n"/>
      <c r="K49" s="14" t="n"/>
      <c r="L49" s="14" t="n"/>
      <c r="M49" s="14" t="n"/>
      <c r="N49" s="3" t="n"/>
      <c r="O49" s="9" t="n"/>
      <c r="P49" s="14" t="n"/>
      <c r="Q49" s="14" t="n"/>
      <c r="R49" s="14" t="n"/>
      <c r="S49" s="14" t="n"/>
      <c r="T49" s="14" t="n"/>
      <c r="U49" s="14" t="n"/>
      <c r="V49" s="9" t="n"/>
      <c r="W49" s="9" t="n"/>
      <c r="X49" s="14" t="n"/>
      <c r="Y49" s="9" t="n"/>
      <c r="Z49" s="9" t="n"/>
      <c r="AA49" s="14" t="n"/>
      <c r="AB49" s="14" t="n"/>
      <c r="AC49" s="9" t="n"/>
      <c r="AD49" s="14" t="n"/>
      <c r="AE49" s="14" t="n"/>
      <c r="AF49" s="14" t="n"/>
      <c r="AG49" s="14" t="n"/>
    </row>
    <row r="50">
      <c r="A50" s="14" t="n"/>
      <c r="B50" s="14" t="n"/>
      <c r="C50" s="14" t="n"/>
      <c r="D50" s="9" t="n"/>
      <c r="E50" s="14" t="n"/>
      <c r="F50" s="9" t="n"/>
      <c r="G50" s="14" t="n"/>
      <c r="H50" s="14" t="n"/>
      <c r="I50" s="9" t="n"/>
      <c r="J50" s="14" t="n"/>
      <c r="K50" s="14" t="n"/>
      <c r="L50" s="14" t="n"/>
      <c r="M50" s="14" t="n"/>
      <c r="N50" s="3" t="n"/>
      <c r="O50" s="9" t="n"/>
      <c r="P50" s="14" t="n"/>
      <c r="Q50" s="14" t="n"/>
      <c r="R50" s="14" t="n"/>
      <c r="S50" s="14" t="n"/>
      <c r="T50" s="14" t="n"/>
      <c r="U50" s="14" t="n"/>
      <c r="V50" s="9" t="n"/>
      <c r="W50" s="9" t="n"/>
      <c r="X50" s="14" t="n"/>
      <c r="Y50" s="9" t="n"/>
      <c r="Z50" s="9" t="n"/>
      <c r="AA50" s="14" t="n"/>
      <c r="AB50" s="14" t="n"/>
      <c r="AC50" s="9" t="n"/>
      <c r="AD50" s="14" t="n"/>
      <c r="AE50" s="14" t="n"/>
      <c r="AF50" s="14" t="n"/>
      <c r="AG50" s="14" t="n"/>
    </row>
    <row r="51">
      <c r="A51" s="14" t="n"/>
      <c r="B51" s="14" t="n"/>
      <c r="C51" s="14" t="n"/>
      <c r="D51" s="9" t="n"/>
      <c r="E51" s="14" t="n"/>
      <c r="F51" s="9" t="n"/>
      <c r="G51" s="14" t="n"/>
      <c r="H51" s="14" t="n"/>
      <c r="I51" s="9" t="n"/>
      <c r="J51" s="14" t="n"/>
      <c r="K51" s="14" t="n"/>
      <c r="L51" s="14" t="n"/>
      <c r="M51" s="14" t="n"/>
      <c r="N51" s="3" t="n"/>
      <c r="O51" s="9" t="n"/>
      <c r="P51" s="14" t="n"/>
      <c r="Q51" s="14" t="n"/>
      <c r="R51" s="14" t="n"/>
      <c r="S51" s="14" t="n"/>
      <c r="T51" s="14" t="n"/>
      <c r="U51" s="14" t="n"/>
      <c r="V51" s="9" t="n"/>
      <c r="W51" s="9" t="n"/>
      <c r="X51" s="14" t="n"/>
      <c r="Y51" s="9" t="n"/>
      <c r="Z51" s="9" t="n"/>
      <c r="AA51" s="14" t="n"/>
      <c r="AB51" s="14" t="n"/>
      <c r="AC51" s="9" t="n"/>
      <c r="AD51" s="14" t="n"/>
      <c r="AE51" s="14" t="n"/>
      <c r="AF51" s="14" t="n"/>
      <c r="AG51" s="14" t="n"/>
    </row>
    <row r="52">
      <c r="A52" s="14" t="n"/>
      <c r="B52" s="14" t="n"/>
      <c r="C52" s="14" t="n"/>
      <c r="D52" s="9" t="n"/>
      <c r="E52" s="14" t="n"/>
      <c r="F52" s="9" t="n"/>
      <c r="G52" s="14" t="n"/>
      <c r="H52" s="14" t="n"/>
      <c r="I52" s="9" t="n"/>
      <c r="J52" s="14" t="n"/>
      <c r="K52" s="14" t="n"/>
      <c r="L52" s="14" t="n"/>
      <c r="M52" s="14" t="n"/>
      <c r="N52" s="3" t="n"/>
      <c r="O52" s="9" t="n"/>
      <c r="P52" s="14" t="n"/>
      <c r="Q52" s="14" t="n"/>
      <c r="R52" s="14" t="n"/>
      <c r="S52" s="14" t="n"/>
      <c r="T52" s="14" t="n"/>
      <c r="U52" s="14" t="n"/>
      <c r="V52" s="9" t="n"/>
      <c r="W52" s="9" t="n"/>
      <c r="X52" s="14" t="n"/>
      <c r="Y52" s="9" t="n"/>
      <c r="Z52" s="9" t="n"/>
      <c r="AA52" s="14" t="n"/>
      <c r="AB52" s="14" t="n"/>
      <c r="AC52" s="9" t="n"/>
      <c r="AD52" s="14" t="n"/>
      <c r="AE52" s="14" t="n"/>
      <c r="AF52" s="14" t="n"/>
      <c r="AG52" s="14" t="n"/>
    </row>
    <row r="53">
      <c r="A53" s="14" t="n"/>
      <c r="B53" s="14" t="n"/>
      <c r="C53" s="14" t="n"/>
      <c r="D53" s="9" t="n"/>
      <c r="E53" s="14" t="n"/>
      <c r="F53" s="9" t="n"/>
      <c r="G53" s="14" t="n"/>
      <c r="H53" s="14" t="n"/>
      <c r="I53" s="9" t="n"/>
      <c r="J53" s="14" t="n"/>
      <c r="K53" s="14" t="n"/>
      <c r="L53" s="14" t="n"/>
      <c r="M53" s="14" t="n"/>
      <c r="N53" s="3" t="n"/>
      <c r="O53" s="9" t="n"/>
      <c r="P53" s="14" t="n"/>
      <c r="Q53" s="14" t="n"/>
      <c r="R53" s="14" t="n"/>
      <c r="S53" s="14" t="n"/>
      <c r="T53" s="14" t="n"/>
      <c r="U53" s="14" t="n"/>
      <c r="V53" s="9" t="n"/>
      <c r="W53" s="9" t="n"/>
      <c r="X53" s="14" t="n"/>
      <c r="Y53" s="9" t="n"/>
      <c r="Z53" s="9" t="n"/>
      <c r="AA53" s="14" t="n"/>
      <c r="AB53" s="14" t="n"/>
      <c r="AC53" s="9" t="n"/>
      <c r="AD53" s="14" t="n"/>
      <c r="AE53" s="14" t="n"/>
      <c r="AF53" s="14" t="n"/>
      <c r="AG53" s="14" t="n"/>
    </row>
    <row r="54">
      <c r="A54" s="14" t="n"/>
      <c r="B54" s="14" t="n"/>
      <c r="C54" s="14" t="n"/>
      <c r="D54" s="9" t="n"/>
      <c r="E54" s="14" t="n"/>
      <c r="F54" s="9" t="n"/>
      <c r="G54" s="14" t="n"/>
      <c r="H54" s="14" t="n"/>
      <c r="I54" s="9" t="n"/>
      <c r="J54" s="14" t="n"/>
      <c r="K54" s="14" t="n"/>
      <c r="L54" s="14" t="n"/>
      <c r="M54" s="14" t="n"/>
      <c r="N54" s="3" t="n"/>
      <c r="O54" s="9" t="n"/>
      <c r="P54" s="14" t="n"/>
      <c r="Q54" s="14" t="n"/>
      <c r="R54" s="14" t="n"/>
      <c r="S54" s="14" t="n"/>
      <c r="T54" s="14" t="n"/>
      <c r="U54" s="14" t="n"/>
      <c r="V54" s="9" t="n"/>
      <c r="W54" s="9" t="n"/>
      <c r="X54" s="14" t="n"/>
      <c r="Y54" s="9" t="n"/>
      <c r="Z54" s="9" t="n"/>
      <c r="AA54" s="14" t="n"/>
      <c r="AB54" s="14" t="n"/>
      <c r="AC54" s="9" t="n"/>
      <c r="AD54" s="14" t="n"/>
      <c r="AE54" s="14" t="n"/>
      <c r="AF54" s="14" t="n"/>
      <c r="AG54" s="14" t="n"/>
    </row>
    <row r="55">
      <c r="A55" s="14" t="n"/>
      <c r="B55" s="14" t="n"/>
      <c r="C55" s="14" t="n"/>
      <c r="D55" s="9" t="n"/>
      <c r="E55" s="14" t="n"/>
      <c r="F55" s="9" t="n"/>
      <c r="G55" s="14" t="n"/>
      <c r="H55" s="14" t="n"/>
      <c r="I55" s="9" t="n"/>
      <c r="J55" s="14" t="n"/>
      <c r="K55" s="14" t="n"/>
      <c r="L55" s="14" t="n"/>
      <c r="M55" s="14" t="n"/>
      <c r="N55" s="3" t="n"/>
      <c r="O55" s="9" t="n"/>
      <c r="P55" s="14" t="n"/>
      <c r="Q55" s="14" t="n"/>
      <c r="R55" s="14" t="n"/>
      <c r="S55" s="14" t="n"/>
      <c r="T55" s="14" t="n"/>
      <c r="U55" s="14" t="n"/>
      <c r="V55" s="9" t="n"/>
      <c r="W55" s="9" t="n"/>
      <c r="X55" s="14" t="n"/>
      <c r="Y55" s="9" t="n"/>
      <c r="Z55" s="9" t="n"/>
      <c r="AA55" s="14" t="n"/>
      <c r="AB55" s="14" t="n"/>
      <c r="AC55" s="9" t="n"/>
      <c r="AD55" s="14" t="n"/>
      <c r="AE55" s="14" t="n"/>
      <c r="AF55" s="14" t="n"/>
      <c r="AG55" s="14" t="n"/>
    </row>
    <row r="56">
      <c r="A56" s="14" t="n"/>
      <c r="B56" s="14" t="n"/>
      <c r="C56" s="14" t="n"/>
      <c r="D56" s="9" t="n"/>
      <c r="E56" s="14" t="n"/>
      <c r="F56" s="9" t="n"/>
      <c r="G56" s="14" t="n"/>
      <c r="H56" s="14" t="n"/>
      <c r="I56" s="9" t="n"/>
      <c r="J56" s="14" t="n"/>
      <c r="K56" s="14" t="n"/>
      <c r="L56" s="14" t="n"/>
      <c r="M56" s="14" t="n"/>
      <c r="N56" s="3" t="n"/>
      <c r="O56" s="9" t="n"/>
      <c r="P56" s="14" t="n"/>
      <c r="Q56" s="14" t="n"/>
      <c r="R56" s="14" t="n"/>
      <c r="S56" s="14" t="n"/>
      <c r="T56" s="14" t="n"/>
      <c r="U56" s="14" t="n"/>
      <c r="V56" s="9" t="n"/>
      <c r="W56" s="9" t="n"/>
      <c r="X56" s="14" t="n"/>
      <c r="Y56" s="9" t="n"/>
      <c r="Z56" s="9" t="n"/>
      <c r="AA56" s="14" t="n"/>
      <c r="AB56" s="14" t="n"/>
      <c r="AC56" s="9" t="n"/>
      <c r="AD56" s="14" t="n"/>
      <c r="AE56" s="14" t="n"/>
      <c r="AF56" s="14" t="n"/>
      <c r="AG56" s="14" t="n"/>
    </row>
    <row r="57">
      <c r="A57" s="14" t="n"/>
      <c r="B57" s="14" t="n"/>
      <c r="C57" s="14" t="n"/>
      <c r="D57" s="9" t="n"/>
      <c r="E57" s="14" t="n"/>
      <c r="F57" s="9" t="n"/>
      <c r="G57" s="14" t="n"/>
      <c r="H57" s="14" t="n"/>
      <c r="I57" s="9" t="n"/>
      <c r="J57" s="14" t="n"/>
      <c r="K57" s="14" t="n"/>
      <c r="L57" s="14" t="n"/>
      <c r="M57" s="14" t="n"/>
      <c r="N57" s="3" t="n"/>
      <c r="O57" s="9" t="n"/>
      <c r="P57" s="14" t="n"/>
      <c r="Q57" s="14" t="n"/>
      <c r="R57" s="14" t="n"/>
      <c r="S57" s="14" t="n"/>
      <c r="T57" s="14" t="n"/>
      <c r="U57" s="14" t="n"/>
      <c r="V57" s="9" t="n"/>
      <c r="W57" s="9" t="n"/>
      <c r="X57" s="14" t="n"/>
      <c r="Y57" s="9" t="n"/>
      <c r="Z57" s="9" t="n"/>
      <c r="AA57" s="14" t="n"/>
      <c r="AB57" s="14" t="n"/>
      <c r="AC57" s="9" t="n"/>
      <c r="AD57" s="14" t="n"/>
      <c r="AE57" s="14" t="n"/>
      <c r="AF57" s="14" t="n"/>
      <c r="AG57" s="14" t="n"/>
    </row>
    <row r="58">
      <c r="A58" s="14" t="n"/>
      <c r="B58" s="14" t="n"/>
      <c r="C58" s="14" t="n"/>
      <c r="D58" s="9" t="n"/>
      <c r="E58" s="14" t="n"/>
      <c r="F58" s="9" t="n"/>
      <c r="G58" s="14" t="n"/>
      <c r="H58" s="14" t="n"/>
      <c r="I58" s="9" t="n"/>
      <c r="J58" s="14" t="n"/>
      <c r="K58" s="14" t="n"/>
      <c r="L58" s="14" t="n"/>
      <c r="M58" s="14" t="n"/>
      <c r="N58" s="3" t="n"/>
      <c r="O58" s="9" t="n"/>
      <c r="P58" s="14" t="n"/>
      <c r="Q58" s="14" t="n"/>
      <c r="R58" s="14" t="n"/>
      <c r="S58" s="14" t="n"/>
      <c r="T58" s="14" t="n"/>
      <c r="U58" s="14" t="n"/>
      <c r="V58" s="9" t="n"/>
      <c r="W58" s="9" t="n"/>
      <c r="X58" s="14" t="n"/>
      <c r="Y58" s="9" t="n"/>
      <c r="Z58" s="9" t="n"/>
      <c r="AA58" s="14" t="n"/>
      <c r="AB58" s="14" t="n"/>
      <c r="AC58" s="9" t="n"/>
      <c r="AD58" s="14" t="n"/>
      <c r="AE58" s="14" t="n"/>
      <c r="AF58" s="14" t="n"/>
      <c r="AG58" s="14" t="n"/>
    </row>
    <row r="59">
      <c r="A59" s="14" t="n"/>
      <c r="B59" s="14" t="n"/>
      <c r="C59" s="14" t="n"/>
      <c r="D59" s="9" t="n"/>
      <c r="E59" s="14" t="n"/>
      <c r="F59" s="9" t="n"/>
      <c r="G59" s="14" t="n"/>
      <c r="H59" s="14" t="n"/>
      <c r="I59" s="9" t="n"/>
      <c r="J59" s="14" t="n"/>
      <c r="K59" s="14" t="n"/>
      <c r="L59" s="14" t="n"/>
      <c r="M59" s="14" t="n"/>
      <c r="N59" s="3" t="n"/>
      <c r="O59" s="9" t="n"/>
      <c r="P59" s="14" t="n"/>
      <c r="Q59" s="14" t="n"/>
      <c r="R59" s="14" t="n"/>
      <c r="S59" s="14" t="n"/>
      <c r="T59" s="14" t="n"/>
      <c r="U59" s="14" t="n"/>
      <c r="V59" s="9" t="n"/>
      <c r="W59" s="9" t="n"/>
      <c r="X59" s="14" t="n"/>
      <c r="Y59" s="9" t="n"/>
      <c r="Z59" s="9" t="n"/>
      <c r="AA59" s="14" t="n"/>
      <c r="AB59" s="14" t="n"/>
      <c r="AC59" s="9" t="n"/>
      <c r="AD59" s="14" t="n"/>
      <c r="AE59" s="14" t="n"/>
      <c r="AF59" s="14" t="n"/>
      <c r="AG59" s="14" t="n"/>
    </row>
    <row r="60">
      <c r="A60" s="14" t="n"/>
      <c r="B60" s="14" t="n"/>
      <c r="C60" s="14" t="n"/>
      <c r="D60" s="9" t="n"/>
      <c r="E60" s="14" t="n"/>
      <c r="F60" s="9" t="n"/>
      <c r="G60" s="14" t="n"/>
      <c r="H60" s="14" t="n"/>
      <c r="I60" s="9" t="n"/>
      <c r="J60" s="14" t="n"/>
      <c r="K60" s="14" t="n"/>
      <c r="L60" s="14" t="n"/>
      <c r="M60" s="14" t="n"/>
      <c r="N60" s="3" t="n"/>
      <c r="O60" s="9" t="n"/>
      <c r="P60" s="14" t="n"/>
      <c r="Q60" s="14" t="n"/>
      <c r="R60" s="14" t="n"/>
      <c r="S60" s="14" t="n"/>
      <c r="T60" s="14" t="n"/>
      <c r="U60" s="14" t="n"/>
      <c r="V60" s="9" t="n"/>
      <c r="W60" s="9" t="n"/>
      <c r="X60" s="14" t="n"/>
      <c r="Y60" s="9" t="n"/>
      <c r="Z60" s="9" t="n"/>
      <c r="AA60" s="14" t="n"/>
      <c r="AB60" s="14" t="n"/>
      <c r="AC60" s="9" t="n"/>
      <c r="AD60" s="14" t="n"/>
      <c r="AE60" s="14" t="n"/>
      <c r="AF60" s="14" t="n"/>
      <c r="AG60" s="14" t="n"/>
    </row>
    <row r="61">
      <c r="A61" s="14" t="n"/>
      <c r="B61" s="14" t="n"/>
      <c r="C61" s="14" t="n"/>
      <c r="D61" s="9" t="n"/>
      <c r="E61" s="14" t="n"/>
      <c r="F61" s="9" t="n"/>
      <c r="G61" s="14" t="n"/>
      <c r="H61" s="14" t="n"/>
      <c r="I61" s="9" t="n"/>
      <c r="J61" s="14" t="n"/>
      <c r="K61" s="14" t="n"/>
      <c r="L61" s="14" t="n"/>
      <c r="M61" s="14" t="n"/>
      <c r="N61" s="3" t="n"/>
      <c r="O61" s="9" t="n"/>
      <c r="P61" s="14" t="n"/>
      <c r="Q61" s="14" t="n"/>
      <c r="R61" s="14" t="n"/>
      <c r="S61" s="14" t="n"/>
      <c r="T61" s="14" t="n"/>
      <c r="U61" s="14" t="n"/>
      <c r="V61" s="9" t="n"/>
      <c r="W61" s="9" t="n"/>
      <c r="X61" s="14" t="n"/>
      <c r="Y61" s="9" t="n"/>
      <c r="Z61" s="9" t="n"/>
      <c r="AA61" s="14" t="n"/>
      <c r="AB61" s="14" t="n"/>
      <c r="AC61" s="9" t="n"/>
      <c r="AD61" s="14" t="n"/>
      <c r="AE61" s="14" t="n"/>
      <c r="AF61" s="14" t="n"/>
      <c r="AG61" s="14" t="n"/>
    </row>
    <row r="62">
      <c r="A62" s="14" t="n"/>
      <c r="B62" s="14" t="n"/>
      <c r="C62" s="14" t="n"/>
      <c r="D62" s="9" t="n"/>
      <c r="E62" s="14" t="n"/>
      <c r="F62" s="9" t="n"/>
      <c r="G62" s="14" t="n"/>
      <c r="H62" s="14" t="n"/>
      <c r="I62" s="9" t="n"/>
      <c r="J62" s="14" t="n"/>
      <c r="K62" s="14" t="n"/>
      <c r="L62" s="14" t="n"/>
      <c r="M62" s="14" t="n"/>
      <c r="N62" s="3" t="n"/>
      <c r="O62" s="9" t="n"/>
      <c r="P62" s="14" t="n"/>
      <c r="Q62" s="14" t="n"/>
      <c r="R62" s="14" t="n"/>
      <c r="S62" s="14" t="n"/>
      <c r="T62" s="14" t="n"/>
      <c r="U62" s="14" t="n"/>
      <c r="V62" s="9" t="n"/>
      <c r="W62" s="9" t="n"/>
      <c r="X62" s="14" t="n"/>
      <c r="Y62" s="9" t="n"/>
      <c r="Z62" s="9" t="n"/>
      <c r="AA62" s="14" t="n"/>
      <c r="AB62" s="14" t="n"/>
      <c r="AC62" s="9" t="n"/>
      <c r="AD62" s="14" t="n"/>
      <c r="AE62" s="14" t="n"/>
      <c r="AF62" s="14" t="n"/>
      <c r="AG62" s="14" t="n"/>
    </row>
    <row r="63">
      <c r="A63" s="14" t="n"/>
      <c r="B63" s="14" t="n"/>
      <c r="C63" s="14" t="n"/>
      <c r="D63" s="9" t="n"/>
      <c r="E63" s="14" t="n"/>
      <c r="F63" s="9" t="n"/>
      <c r="G63" s="14" t="n"/>
      <c r="H63" s="14" t="n"/>
      <c r="I63" s="9" t="n"/>
      <c r="J63" s="14" t="n"/>
      <c r="K63" s="14" t="n"/>
      <c r="L63" s="14" t="n"/>
      <c r="M63" s="14" t="n"/>
      <c r="N63" s="3" t="n"/>
      <c r="O63" s="9" t="n"/>
      <c r="P63" s="14" t="n"/>
      <c r="Q63" s="14" t="n"/>
      <c r="R63" s="14" t="n"/>
      <c r="S63" s="14" t="n"/>
      <c r="T63" s="14" t="n"/>
      <c r="U63" s="14" t="n"/>
      <c r="V63" s="9" t="n"/>
      <c r="W63" s="9" t="n"/>
      <c r="X63" s="14" t="n"/>
      <c r="Y63" s="9" t="n"/>
      <c r="Z63" s="9" t="n"/>
      <c r="AA63" s="14" t="n"/>
      <c r="AB63" s="14" t="n"/>
      <c r="AC63" s="9" t="n"/>
      <c r="AD63" s="14" t="n"/>
      <c r="AE63" s="14" t="n"/>
      <c r="AF63" s="14" t="n"/>
      <c r="AG63" s="14" t="n"/>
    </row>
    <row r="64">
      <c r="A64" s="14" t="n"/>
      <c r="B64" s="14" t="n"/>
      <c r="C64" s="14" t="n"/>
      <c r="D64" s="9" t="n"/>
      <c r="E64" s="14" t="n"/>
      <c r="F64" s="9" t="n"/>
      <c r="G64" s="14" t="n"/>
      <c r="H64" s="14" t="n"/>
      <c r="I64" s="9" t="n"/>
      <c r="J64" s="14" t="n"/>
      <c r="K64" s="14" t="n"/>
      <c r="L64" s="14" t="n"/>
      <c r="M64" s="14" t="n"/>
      <c r="N64" s="3" t="n"/>
      <c r="O64" s="9" t="n"/>
      <c r="P64" s="14" t="n"/>
      <c r="Q64" s="14" t="n"/>
      <c r="R64" s="14" t="n"/>
      <c r="S64" s="14" t="n"/>
      <c r="T64" s="14" t="n"/>
      <c r="U64" s="14" t="n"/>
      <c r="V64" s="9" t="n"/>
      <c r="W64" s="9" t="n"/>
      <c r="X64" s="14" t="n"/>
      <c r="Y64" s="9" t="n"/>
      <c r="Z64" s="9" t="n"/>
      <c r="AA64" s="14" t="n"/>
      <c r="AB64" s="14" t="n"/>
      <c r="AC64" s="9" t="n"/>
      <c r="AD64" s="14" t="n"/>
      <c r="AE64" s="14" t="n"/>
      <c r="AF64" s="14" t="n"/>
      <c r="AG64" s="14" t="n"/>
    </row>
    <row r="65">
      <c r="A65" s="14" t="n"/>
      <c r="B65" s="14" t="n"/>
      <c r="C65" s="14" t="n"/>
      <c r="D65" s="9" t="n"/>
      <c r="E65" s="14" t="n"/>
      <c r="F65" s="9" t="n"/>
      <c r="G65" s="14" t="n"/>
      <c r="H65" s="14" t="n"/>
      <c r="I65" s="9" t="n"/>
      <c r="J65" s="14" t="n"/>
      <c r="K65" s="14" t="n"/>
      <c r="L65" s="14" t="n"/>
      <c r="M65" s="14" t="n"/>
      <c r="N65" s="3" t="n"/>
      <c r="O65" s="9" t="n"/>
      <c r="P65" s="14" t="n"/>
      <c r="Q65" s="14" t="n"/>
      <c r="R65" s="14" t="n"/>
      <c r="S65" s="14" t="n"/>
      <c r="T65" s="14" t="n"/>
      <c r="U65" s="14" t="n"/>
      <c r="V65" s="9" t="n"/>
      <c r="W65" s="9" t="n"/>
      <c r="X65" s="14" t="n"/>
      <c r="Y65" s="9" t="n"/>
      <c r="Z65" s="9" t="n"/>
      <c r="AA65" s="14" t="n"/>
      <c r="AB65" s="14" t="n"/>
      <c r="AC65" s="9" t="n"/>
      <c r="AD65" s="14" t="n"/>
      <c r="AE65" s="14" t="n"/>
      <c r="AF65" s="14" t="n"/>
      <c r="AG65" s="14" t="n"/>
    </row>
    <row r="66">
      <c r="A66" s="14" t="n"/>
      <c r="B66" s="14" t="n"/>
      <c r="C66" s="14" t="n"/>
      <c r="D66" s="9" t="n"/>
      <c r="E66" s="14" t="n"/>
      <c r="F66" s="9" t="n"/>
      <c r="G66" s="14" t="n"/>
      <c r="H66" s="14" t="n"/>
      <c r="I66" s="9" t="n"/>
      <c r="J66" s="14" t="n"/>
      <c r="K66" s="14" t="n"/>
      <c r="L66" s="14" t="n"/>
      <c r="M66" s="14" t="n"/>
      <c r="N66" s="3" t="n"/>
      <c r="O66" s="9" t="n"/>
      <c r="P66" s="14" t="n"/>
      <c r="Q66" s="14" t="n"/>
      <c r="R66" s="14" t="n"/>
      <c r="S66" s="14" t="n"/>
      <c r="T66" s="14" t="n"/>
      <c r="U66" s="14" t="n"/>
      <c r="V66" s="9" t="n"/>
      <c r="W66" s="9" t="n"/>
      <c r="X66" s="14" t="n"/>
      <c r="Y66" s="9" t="n"/>
      <c r="Z66" s="9" t="n"/>
      <c r="AA66" s="14" t="n"/>
      <c r="AB66" s="14" t="n"/>
      <c r="AC66" s="9" t="n"/>
      <c r="AD66" s="14" t="n"/>
      <c r="AE66" s="14" t="n"/>
      <c r="AF66" s="14" t="n"/>
      <c r="AG66" s="14" t="n"/>
    </row>
    <row r="67">
      <c r="A67" s="14" t="n"/>
      <c r="B67" s="14" t="n"/>
      <c r="C67" s="14" t="n"/>
      <c r="D67" s="9" t="n"/>
      <c r="E67" s="14" t="n"/>
      <c r="F67" s="9" t="n"/>
      <c r="G67" s="14" t="n"/>
      <c r="H67" s="14" t="n"/>
      <c r="I67" s="9" t="n"/>
      <c r="J67" s="14" t="n"/>
      <c r="K67" s="14" t="n"/>
      <c r="L67" s="14" t="n"/>
      <c r="M67" s="14" t="n"/>
      <c r="N67" s="3" t="n"/>
      <c r="O67" s="9" t="n"/>
      <c r="P67" s="14" t="n"/>
      <c r="Q67" s="14" t="n"/>
      <c r="R67" s="14" t="n"/>
      <c r="S67" s="14" t="n"/>
      <c r="T67" s="14" t="n"/>
      <c r="U67" s="14" t="n"/>
      <c r="V67" s="9" t="n"/>
      <c r="W67" s="9" t="n"/>
      <c r="X67" s="14" t="n"/>
      <c r="Y67" s="9" t="n"/>
      <c r="Z67" s="9" t="n"/>
      <c r="AA67" s="14" t="n"/>
      <c r="AB67" s="14" t="n"/>
      <c r="AC67" s="9" t="n"/>
      <c r="AD67" s="14" t="n"/>
      <c r="AE67" s="14" t="n"/>
      <c r="AF67" s="14" t="n"/>
      <c r="AG67" s="14" t="n"/>
    </row>
    <row r="68">
      <c r="A68" s="14" t="n"/>
      <c r="B68" s="14" t="n"/>
      <c r="C68" s="14" t="n"/>
      <c r="D68" s="9" t="n"/>
      <c r="E68" s="14" t="n"/>
      <c r="F68" s="9" t="n"/>
      <c r="G68" s="14" t="n"/>
      <c r="H68" s="14" t="n"/>
      <c r="I68" s="9" t="n"/>
      <c r="J68" s="14" t="n"/>
      <c r="K68" s="14" t="n"/>
      <c r="L68" s="14" t="n"/>
      <c r="M68" s="14" t="n"/>
      <c r="N68" s="3" t="n"/>
      <c r="O68" s="9" t="n"/>
      <c r="P68" s="14" t="n"/>
      <c r="Q68" s="14" t="n"/>
      <c r="R68" s="14" t="n"/>
      <c r="S68" s="14" t="n"/>
      <c r="T68" s="14" t="n"/>
      <c r="U68" s="14" t="n"/>
      <c r="V68" s="9" t="n"/>
      <c r="W68" s="9" t="n"/>
      <c r="X68" s="14" t="n"/>
      <c r="Y68" s="9" t="n"/>
      <c r="Z68" s="9" t="n"/>
      <c r="AA68" s="14" t="n"/>
      <c r="AB68" s="14" t="n"/>
      <c r="AC68" s="9" t="n"/>
      <c r="AD68" s="14" t="n"/>
      <c r="AE68" s="14" t="n"/>
      <c r="AF68" s="14" t="n"/>
      <c r="AG68" s="14" t="n"/>
    </row>
    <row r="69">
      <c r="A69" s="14" t="n"/>
      <c r="B69" s="14" t="n"/>
      <c r="C69" s="14" t="n"/>
      <c r="D69" s="9" t="n"/>
      <c r="E69" s="14" t="n"/>
      <c r="F69" s="9" t="n"/>
      <c r="G69" s="14" t="n"/>
      <c r="H69" s="14" t="n"/>
      <c r="I69" s="9" t="n"/>
      <c r="J69" s="14" t="n"/>
      <c r="K69" s="14" t="n"/>
      <c r="L69" s="14" t="n"/>
      <c r="M69" s="14" t="n"/>
      <c r="N69" s="3" t="n"/>
      <c r="O69" s="9" t="n"/>
      <c r="P69" s="14" t="n"/>
      <c r="Q69" s="14" t="n"/>
      <c r="R69" s="14" t="n"/>
      <c r="S69" s="14" t="n"/>
      <c r="T69" s="14" t="n"/>
      <c r="U69" s="14" t="n"/>
      <c r="V69" s="9" t="n"/>
      <c r="W69" s="9" t="n"/>
      <c r="X69" s="14" t="n"/>
      <c r="Y69" s="9" t="n"/>
      <c r="Z69" s="9" t="n"/>
      <c r="AA69" s="14" t="n"/>
      <c r="AB69" s="14" t="n"/>
      <c r="AC69" s="9" t="n"/>
      <c r="AD69" s="14" t="n"/>
      <c r="AE69" s="14" t="n"/>
      <c r="AF69" s="14" t="n"/>
      <c r="AG69" s="14" t="n"/>
    </row>
    <row r="70">
      <c r="A70" s="14" t="n"/>
      <c r="B70" s="14" t="n"/>
      <c r="C70" s="14" t="n"/>
      <c r="D70" s="9" t="n"/>
      <c r="E70" s="14" t="n"/>
      <c r="F70" s="9" t="n"/>
      <c r="G70" s="14" t="n"/>
      <c r="H70" s="14" t="n"/>
      <c r="I70" s="9" t="n"/>
      <c r="J70" s="14" t="n"/>
      <c r="K70" s="14" t="n"/>
      <c r="L70" s="14" t="n"/>
      <c r="M70" s="14" t="n"/>
      <c r="N70" s="3" t="n"/>
      <c r="O70" s="9" t="n"/>
      <c r="P70" s="14" t="n"/>
      <c r="Q70" s="14" t="n"/>
      <c r="R70" s="14" t="n"/>
      <c r="S70" s="14" t="n"/>
      <c r="T70" s="14" t="n"/>
      <c r="U70" s="14" t="n"/>
      <c r="V70" s="9" t="n"/>
      <c r="W70" s="9" t="n"/>
      <c r="X70" s="14" t="n"/>
      <c r="Y70" s="9" t="n"/>
      <c r="Z70" s="9" t="n"/>
      <c r="AA70" s="14" t="n"/>
      <c r="AB70" s="14" t="n"/>
      <c r="AC70" s="9" t="n"/>
      <c r="AD70" s="14" t="n"/>
      <c r="AE70" s="14" t="n"/>
      <c r="AF70" s="14" t="n"/>
      <c r="AG70" s="14" t="n"/>
    </row>
    <row r="71">
      <c r="A71" s="14" t="n"/>
      <c r="B71" s="14" t="n"/>
      <c r="C71" s="14" t="n"/>
      <c r="D71" s="9" t="n"/>
      <c r="E71" s="14" t="n"/>
      <c r="F71" s="9" t="n"/>
      <c r="G71" s="14" t="n"/>
      <c r="H71" s="14" t="n"/>
      <c r="I71" s="9" t="n"/>
      <c r="J71" s="14" t="n"/>
      <c r="K71" s="14" t="n"/>
      <c r="L71" s="14" t="n"/>
      <c r="M71" s="14" t="n"/>
      <c r="N71" s="3" t="n"/>
      <c r="O71" s="9" t="n"/>
      <c r="P71" s="14" t="n"/>
      <c r="Q71" s="14" t="n"/>
      <c r="R71" s="14" t="n"/>
      <c r="S71" s="14" t="n"/>
      <c r="T71" s="14" t="n"/>
      <c r="U71" s="14" t="n"/>
      <c r="V71" s="9" t="n"/>
      <c r="W71" s="9" t="n"/>
      <c r="X71" s="14" t="n"/>
      <c r="Y71" s="9" t="n"/>
      <c r="Z71" s="9" t="n"/>
      <c r="AA71" s="14" t="n"/>
      <c r="AB71" s="14" t="n"/>
      <c r="AC71" s="9" t="n"/>
      <c r="AD71" s="14" t="n"/>
      <c r="AE71" s="14" t="n"/>
      <c r="AF71" s="14" t="n"/>
      <c r="AG71" s="14" t="n"/>
    </row>
    <row r="72">
      <c r="A72" s="14" t="n"/>
      <c r="B72" s="14" t="n"/>
      <c r="C72" s="14" t="n"/>
      <c r="D72" s="9" t="n"/>
      <c r="E72" s="14" t="n"/>
      <c r="F72" s="9" t="n"/>
      <c r="G72" s="14" t="n"/>
      <c r="H72" s="14" t="n"/>
      <c r="I72" s="9" t="n"/>
      <c r="J72" s="14" t="n"/>
      <c r="K72" s="14" t="n"/>
      <c r="L72" s="14" t="n"/>
      <c r="M72" s="14" t="n"/>
      <c r="N72" s="3" t="n"/>
      <c r="O72" s="9" t="n"/>
      <c r="P72" s="14" t="n"/>
      <c r="Q72" s="14" t="n"/>
      <c r="R72" s="14" t="n"/>
      <c r="S72" s="14" t="n"/>
      <c r="T72" s="14" t="n"/>
      <c r="U72" s="14" t="n"/>
      <c r="V72" s="9" t="n"/>
      <c r="W72" s="9" t="n"/>
      <c r="X72" s="14" t="n"/>
      <c r="Y72" s="9" t="n"/>
      <c r="Z72" s="9" t="n"/>
      <c r="AA72" s="14" t="n"/>
      <c r="AB72" s="14" t="n"/>
      <c r="AC72" s="9" t="n"/>
      <c r="AD72" s="14" t="n"/>
      <c r="AE72" s="14" t="n"/>
      <c r="AF72" s="14" t="n"/>
      <c r="AG72" s="14" t="n"/>
    </row>
    <row r="73">
      <c r="A73" s="14" t="n"/>
      <c r="B73" s="14" t="n"/>
      <c r="C73" s="14" t="n"/>
      <c r="D73" s="9" t="n"/>
      <c r="E73" s="14" t="n"/>
      <c r="F73" s="9" t="n"/>
      <c r="G73" s="14" t="n"/>
      <c r="H73" s="14" t="n"/>
      <c r="I73" s="9" t="n"/>
      <c r="J73" s="14" t="n"/>
      <c r="K73" s="14" t="n"/>
      <c r="L73" s="14" t="n"/>
      <c r="M73" s="14" t="n"/>
      <c r="N73" s="3" t="n"/>
      <c r="O73" s="9" t="n"/>
      <c r="P73" s="14" t="n"/>
      <c r="Q73" s="14" t="n"/>
      <c r="R73" s="14" t="n"/>
      <c r="S73" s="14" t="n"/>
      <c r="T73" s="14" t="n"/>
      <c r="U73" s="14" t="n"/>
      <c r="V73" s="9" t="n"/>
      <c r="W73" s="9" t="n"/>
      <c r="X73" s="14" t="n"/>
      <c r="Y73" s="9" t="n"/>
      <c r="Z73" s="9" t="n"/>
      <c r="AA73" s="14" t="n"/>
      <c r="AB73" s="14" t="n"/>
      <c r="AC73" s="9" t="n"/>
      <c r="AD73" s="14" t="n"/>
      <c r="AE73" s="14" t="n"/>
      <c r="AF73" s="14" t="n"/>
      <c r="AG73" s="14" t="n"/>
    </row>
    <row r="74">
      <c r="A74" s="14" t="n"/>
      <c r="B74" s="14" t="n"/>
      <c r="C74" s="14" t="n"/>
      <c r="D74" s="9" t="n"/>
      <c r="E74" s="14" t="n"/>
      <c r="F74" s="9" t="n"/>
      <c r="G74" s="14" t="n"/>
      <c r="H74" s="14" t="n"/>
      <c r="I74" s="9" t="n"/>
      <c r="J74" s="14" t="n"/>
      <c r="K74" s="14" t="n"/>
      <c r="L74" s="14" t="n"/>
      <c r="M74" s="14" t="n"/>
      <c r="N74" s="3" t="n"/>
      <c r="O74" s="9" t="n"/>
      <c r="P74" s="14" t="n"/>
      <c r="Q74" s="14" t="n"/>
      <c r="R74" s="14" t="n"/>
      <c r="S74" s="14" t="n"/>
      <c r="T74" s="14" t="n"/>
      <c r="U74" s="14" t="n"/>
      <c r="V74" s="9" t="n"/>
      <c r="W74" s="9" t="n"/>
      <c r="X74" s="14" t="n"/>
      <c r="Y74" s="9" t="n"/>
      <c r="Z74" s="9" t="n"/>
      <c r="AA74" s="14" t="n"/>
      <c r="AB74" s="14" t="n"/>
      <c r="AC74" s="9" t="n"/>
      <c r="AD74" s="14" t="n"/>
      <c r="AE74" s="14" t="n"/>
      <c r="AF74" s="14" t="n"/>
      <c r="AG74" s="14" t="n"/>
    </row>
    <row r="75">
      <c r="A75" s="14" t="n"/>
      <c r="B75" s="14" t="n"/>
      <c r="C75" s="14" t="n"/>
      <c r="D75" s="9" t="n"/>
      <c r="E75" s="14" t="n"/>
      <c r="F75" s="9" t="n"/>
      <c r="G75" s="14" t="n"/>
      <c r="H75" s="14" t="n"/>
      <c r="I75" s="9" t="n"/>
      <c r="J75" s="14" t="n"/>
      <c r="K75" s="14" t="n"/>
      <c r="L75" s="14" t="n"/>
      <c r="M75" s="14" t="n"/>
      <c r="N75" s="3" t="n"/>
      <c r="O75" s="9" t="n"/>
      <c r="P75" s="14" t="n"/>
      <c r="Q75" s="14" t="n"/>
      <c r="R75" s="14" t="n"/>
      <c r="S75" s="14" t="n"/>
      <c r="T75" s="14" t="n"/>
      <c r="U75" s="14" t="n"/>
      <c r="V75" s="9" t="n"/>
      <c r="W75" s="9" t="n"/>
      <c r="X75" s="14" t="n"/>
      <c r="Y75" s="9" t="n"/>
      <c r="Z75" s="9" t="n"/>
      <c r="AA75" s="14" t="n"/>
      <c r="AB75" s="14" t="n"/>
      <c r="AC75" s="9" t="n"/>
      <c r="AD75" s="14" t="n"/>
      <c r="AE75" s="14" t="n"/>
      <c r="AF75" s="14" t="n"/>
      <c r="AG75" s="14" t="n"/>
    </row>
    <row r="76">
      <c r="A76" s="14" t="n"/>
      <c r="B76" s="14" t="n"/>
      <c r="C76" s="14" t="n"/>
      <c r="D76" s="9" t="n"/>
      <c r="E76" s="14" t="n"/>
      <c r="F76" s="9" t="n"/>
      <c r="G76" s="14" t="n"/>
      <c r="H76" s="14" t="n"/>
      <c r="I76" s="9" t="n"/>
      <c r="J76" s="14" t="n"/>
      <c r="K76" s="14" t="n"/>
      <c r="L76" s="14" t="n"/>
      <c r="M76" s="14" t="n"/>
      <c r="N76" s="3" t="n"/>
      <c r="O76" s="9" t="n"/>
      <c r="P76" s="14" t="n"/>
      <c r="Q76" s="14" t="n"/>
      <c r="R76" s="14" t="n"/>
      <c r="S76" s="14" t="n"/>
      <c r="T76" s="14" t="n"/>
      <c r="U76" s="14" t="n"/>
      <c r="V76" s="9" t="n"/>
      <c r="W76" s="9" t="n"/>
      <c r="X76" s="14" t="n"/>
      <c r="Y76" s="9" t="n"/>
      <c r="Z76" s="9" t="n"/>
      <c r="AA76" s="14" t="n"/>
      <c r="AB76" s="14" t="n"/>
      <c r="AC76" s="9" t="n"/>
      <c r="AD76" s="14" t="n"/>
      <c r="AE76" s="14" t="n"/>
      <c r="AF76" s="14" t="n"/>
      <c r="AG76" s="14" t="n"/>
    </row>
    <row r="77">
      <c r="A77" s="14" t="n"/>
      <c r="B77" s="14" t="n"/>
      <c r="C77" s="14" t="n"/>
      <c r="D77" s="9" t="n"/>
      <c r="E77" s="14" t="n"/>
      <c r="F77" s="9" t="n"/>
      <c r="G77" s="14" t="n"/>
      <c r="H77" s="14" t="n"/>
      <c r="I77" s="9" t="n"/>
      <c r="J77" s="14" t="n"/>
      <c r="K77" s="14" t="n"/>
      <c r="L77" s="14" t="n"/>
      <c r="M77" s="14" t="n"/>
      <c r="N77" s="3" t="n"/>
      <c r="O77" s="9" t="n"/>
      <c r="P77" s="14" t="n"/>
      <c r="Q77" s="14" t="n"/>
      <c r="R77" s="14" t="n"/>
      <c r="S77" s="14" t="n"/>
      <c r="T77" s="14" t="n"/>
      <c r="U77" s="14" t="n"/>
      <c r="V77" s="9" t="n"/>
      <c r="W77" s="9" t="n"/>
      <c r="X77" s="14" t="n"/>
      <c r="Y77" s="9" t="n"/>
      <c r="Z77" s="9" t="n"/>
      <c r="AA77" s="14" t="n"/>
      <c r="AB77" s="14" t="n"/>
      <c r="AC77" s="9" t="n"/>
      <c r="AD77" s="14" t="n"/>
      <c r="AE77" s="14" t="n"/>
      <c r="AF77" s="14" t="n"/>
      <c r="AG77" s="14" t="n"/>
    </row>
    <row r="78">
      <c r="A78" s="14" t="n"/>
      <c r="B78" s="14" t="n"/>
      <c r="C78" s="14" t="n"/>
      <c r="D78" s="9" t="n"/>
      <c r="E78" s="14" t="n"/>
      <c r="F78" s="9" t="n"/>
      <c r="G78" s="14" t="n"/>
      <c r="H78" s="14" t="n"/>
      <c r="I78" s="9" t="n"/>
      <c r="J78" s="14" t="n"/>
      <c r="K78" s="14" t="n"/>
      <c r="L78" s="14" t="n"/>
      <c r="M78" s="14" t="n"/>
      <c r="N78" s="3" t="n"/>
      <c r="O78" s="9" t="n"/>
      <c r="P78" s="14" t="n"/>
      <c r="Q78" s="14" t="n"/>
      <c r="R78" s="14" t="n"/>
      <c r="S78" s="14" t="n"/>
      <c r="T78" s="14" t="n"/>
      <c r="U78" s="14" t="n"/>
      <c r="V78" s="9" t="n"/>
      <c r="W78" s="9" t="n"/>
      <c r="X78" s="14" t="n"/>
      <c r="Y78" s="9" t="n"/>
      <c r="Z78" s="9" t="n"/>
      <c r="AA78" s="14" t="n"/>
      <c r="AB78" s="14" t="n"/>
      <c r="AC78" s="9" t="n"/>
      <c r="AD78" s="14" t="n"/>
      <c r="AE78" s="14" t="n"/>
      <c r="AF78" s="14" t="n"/>
      <c r="AG78" s="14" t="n"/>
    </row>
    <row r="79">
      <c r="A79" s="14" t="n"/>
      <c r="B79" s="14" t="n"/>
      <c r="C79" s="14" t="n"/>
      <c r="D79" s="9" t="n"/>
      <c r="E79" s="14" t="n"/>
      <c r="F79" s="9" t="n"/>
      <c r="G79" s="14" t="n"/>
      <c r="H79" s="14" t="n"/>
      <c r="I79" s="9" t="n"/>
      <c r="J79" s="14" t="n"/>
      <c r="K79" s="14" t="n"/>
      <c r="L79" s="14" t="n"/>
      <c r="M79" s="14" t="n"/>
      <c r="N79" s="3" t="n"/>
      <c r="O79" s="9" t="n"/>
      <c r="P79" s="14" t="n"/>
      <c r="Q79" s="14" t="n"/>
      <c r="R79" s="14" t="n"/>
      <c r="S79" s="14" t="n"/>
      <c r="T79" s="14" t="n"/>
      <c r="U79" s="14" t="n"/>
      <c r="V79" s="9" t="n"/>
      <c r="W79" s="9" t="n"/>
      <c r="X79" s="14" t="n"/>
      <c r="Y79" s="9" t="n"/>
      <c r="Z79" s="9" t="n"/>
      <c r="AA79" s="14" t="n"/>
      <c r="AB79" s="14" t="n"/>
      <c r="AC79" s="9" t="n"/>
      <c r="AD79" s="14" t="n"/>
      <c r="AE79" s="14" t="n"/>
      <c r="AF79" s="14" t="n"/>
      <c r="AG79" s="14" t="n"/>
    </row>
    <row r="80">
      <c r="A80" s="14" t="n"/>
      <c r="B80" s="14" t="n"/>
      <c r="C80" s="14" t="n"/>
      <c r="D80" s="9" t="n"/>
      <c r="E80" s="14" t="n"/>
      <c r="F80" s="9" t="n"/>
      <c r="G80" s="14" t="n"/>
      <c r="H80" s="14" t="n"/>
      <c r="I80" s="9" t="n"/>
      <c r="J80" s="14" t="n"/>
      <c r="K80" s="14" t="n"/>
      <c r="L80" s="14" t="n"/>
      <c r="M80" s="14" t="n"/>
      <c r="N80" s="3" t="n"/>
      <c r="O80" s="9" t="n"/>
      <c r="P80" s="14" t="n"/>
      <c r="Q80" s="14" t="n"/>
      <c r="R80" s="14" t="n"/>
      <c r="S80" s="14" t="n"/>
      <c r="T80" s="14" t="n"/>
      <c r="U80" s="14" t="n"/>
      <c r="V80" s="9" t="n"/>
      <c r="W80" s="9" t="n"/>
      <c r="X80" s="14" t="n"/>
      <c r="Y80" s="9" t="n"/>
      <c r="Z80" s="9" t="n"/>
      <c r="AA80" s="14" t="n"/>
      <c r="AB80" s="14" t="n"/>
      <c r="AC80" s="9" t="n"/>
      <c r="AD80" s="14" t="n"/>
      <c r="AE80" s="14" t="n"/>
      <c r="AF80" s="14" t="n"/>
      <c r="AG80" s="14" t="n"/>
    </row>
    <row r="81">
      <c r="A81" s="14" t="n"/>
      <c r="B81" s="14" t="n"/>
      <c r="C81" s="14" t="n"/>
      <c r="D81" s="9" t="n"/>
      <c r="E81" s="14" t="n"/>
      <c r="F81" s="9" t="n"/>
      <c r="G81" s="14" t="n"/>
      <c r="H81" s="14" t="n"/>
      <c r="I81" s="9" t="n"/>
      <c r="J81" s="14" t="n"/>
      <c r="K81" s="14" t="n"/>
      <c r="L81" s="14" t="n"/>
      <c r="M81" s="14" t="n"/>
      <c r="N81" s="3" t="n"/>
      <c r="O81" s="9" t="n"/>
      <c r="P81" s="14" t="n"/>
      <c r="Q81" s="14" t="n"/>
      <c r="R81" s="14" t="n"/>
      <c r="S81" s="14" t="n"/>
      <c r="T81" s="14" t="n"/>
      <c r="U81" s="14" t="n"/>
      <c r="V81" s="9" t="n"/>
      <c r="W81" s="9" t="n"/>
      <c r="X81" s="14" t="n"/>
      <c r="Y81" s="9" t="n"/>
      <c r="Z81" s="9" t="n"/>
      <c r="AA81" s="14" t="n"/>
      <c r="AB81" s="14" t="n"/>
      <c r="AC81" s="9" t="n"/>
      <c r="AD81" s="14" t="n"/>
      <c r="AE81" s="14" t="n"/>
      <c r="AF81" s="14" t="n"/>
      <c r="AG81" s="14" t="n"/>
    </row>
    <row r="82">
      <c r="A82" s="14" t="n"/>
      <c r="B82" s="14" t="n"/>
      <c r="C82" s="14" t="n"/>
      <c r="D82" s="9" t="n"/>
      <c r="E82" s="14" t="n"/>
      <c r="F82" s="9" t="n"/>
      <c r="G82" s="14" t="n"/>
      <c r="H82" s="14" t="n"/>
      <c r="I82" s="9" t="n"/>
      <c r="J82" s="14" t="n"/>
      <c r="K82" s="14" t="n"/>
      <c r="L82" s="14" t="n"/>
      <c r="M82" s="14" t="n"/>
      <c r="N82" s="3" t="n"/>
      <c r="O82" s="9" t="n"/>
      <c r="P82" s="14" t="n"/>
      <c r="Q82" s="14" t="n"/>
      <c r="R82" s="14" t="n"/>
      <c r="S82" s="14" t="n"/>
      <c r="T82" s="14" t="n"/>
      <c r="U82" s="14" t="n"/>
      <c r="V82" s="9" t="n"/>
      <c r="W82" s="9" t="n"/>
      <c r="X82" s="14" t="n"/>
      <c r="Y82" s="9" t="n"/>
      <c r="Z82" s="9" t="n"/>
      <c r="AA82" s="14" t="n"/>
      <c r="AB82" s="14" t="n"/>
      <c r="AC82" s="9" t="n"/>
      <c r="AD82" s="14" t="n"/>
      <c r="AE82" s="14" t="n"/>
      <c r="AF82" s="14" t="n"/>
      <c r="AG82" s="14" t="n"/>
    </row>
    <row r="83">
      <c r="A83" s="14" t="n"/>
      <c r="B83" s="14" t="n"/>
      <c r="C83" s="14" t="n"/>
      <c r="D83" s="9" t="n"/>
      <c r="E83" s="14" t="n"/>
      <c r="F83" s="9" t="n"/>
      <c r="G83" s="14" t="n"/>
      <c r="H83" s="14" t="n"/>
      <c r="I83" s="9" t="n"/>
      <c r="J83" s="14" t="n"/>
      <c r="K83" s="14" t="n"/>
      <c r="L83" s="14" t="n"/>
      <c r="M83" s="14" t="n"/>
      <c r="N83" s="3" t="n"/>
      <c r="O83" s="9" t="n"/>
      <c r="P83" s="14" t="n"/>
      <c r="Q83" s="14" t="n"/>
      <c r="R83" s="14" t="n"/>
      <c r="S83" s="14" t="n"/>
      <c r="T83" s="14" t="n"/>
      <c r="U83" s="14" t="n"/>
      <c r="V83" s="9" t="n"/>
      <c r="W83" s="9" t="n"/>
      <c r="X83" s="14" t="n"/>
      <c r="Y83" s="9" t="n"/>
      <c r="Z83" s="9" t="n"/>
      <c r="AA83" s="14" t="n"/>
      <c r="AB83" s="14" t="n"/>
      <c r="AC83" s="9" t="n"/>
      <c r="AD83" s="14" t="n"/>
      <c r="AE83" s="14" t="n"/>
      <c r="AF83" s="14" t="n"/>
      <c r="AG83" s="14" t="n"/>
    </row>
    <row r="84">
      <c r="A84" s="14" t="n"/>
      <c r="B84" s="14" t="n"/>
      <c r="C84" s="14" t="n"/>
      <c r="D84" s="9" t="n"/>
      <c r="E84" s="14" t="n"/>
      <c r="F84" s="9" t="n"/>
      <c r="G84" s="14" t="n"/>
      <c r="H84" s="14" t="n"/>
      <c r="I84" s="9" t="n"/>
      <c r="J84" s="14" t="n"/>
      <c r="K84" s="14" t="n"/>
      <c r="L84" s="14" t="n"/>
      <c r="M84" s="14" t="n"/>
      <c r="N84" s="3" t="n"/>
      <c r="O84" s="9" t="n"/>
      <c r="P84" s="14" t="n"/>
      <c r="Q84" s="14" t="n"/>
      <c r="R84" s="14" t="n"/>
      <c r="S84" s="14" t="n"/>
      <c r="T84" s="14" t="n"/>
      <c r="U84" s="14" t="n"/>
      <c r="V84" s="9" t="n"/>
      <c r="W84" s="9" t="n"/>
      <c r="X84" s="14" t="n"/>
      <c r="Y84" s="9" t="n"/>
      <c r="Z84" s="9" t="n"/>
      <c r="AA84" s="14" t="n"/>
      <c r="AB84" s="14" t="n"/>
      <c r="AC84" s="9" t="n"/>
      <c r="AD84" s="14" t="n"/>
      <c r="AE84" s="14" t="n"/>
      <c r="AF84" s="14" t="n"/>
      <c r="AG84" s="14" t="n"/>
    </row>
    <row r="85">
      <c r="A85" s="14" t="n"/>
      <c r="B85" s="14" t="n"/>
      <c r="C85" s="14" t="n"/>
      <c r="D85" s="9" t="n"/>
      <c r="E85" s="14" t="n"/>
      <c r="F85" s="9" t="n"/>
      <c r="G85" s="14" t="n"/>
      <c r="H85" s="14" t="n"/>
      <c r="I85" s="9" t="n"/>
      <c r="J85" s="14" t="n"/>
      <c r="K85" s="14" t="n"/>
      <c r="L85" s="14" t="n"/>
      <c r="M85" s="14" t="n"/>
      <c r="N85" s="3" t="n"/>
      <c r="O85" s="9" t="n"/>
      <c r="P85" s="14" t="n"/>
      <c r="Q85" s="14" t="n"/>
      <c r="R85" s="14" t="n"/>
      <c r="S85" s="14" t="n"/>
      <c r="T85" s="14" t="n"/>
      <c r="U85" s="14" t="n"/>
      <c r="V85" s="9" t="n"/>
      <c r="W85" s="9" t="n"/>
      <c r="X85" s="14" t="n"/>
      <c r="Y85" s="9" t="n"/>
      <c r="Z85" s="9" t="n"/>
      <c r="AA85" s="14" t="n"/>
      <c r="AB85" s="14" t="n"/>
      <c r="AC85" s="9" t="n"/>
      <c r="AD85" s="14" t="n"/>
      <c r="AE85" s="14" t="n"/>
      <c r="AF85" s="14" t="n"/>
      <c r="AG85" s="14" t="n"/>
    </row>
    <row r="86">
      <c r="A86" s="14" t="n"/>
      <c r="B86" s="14" t="n"/>
      <c r="C86" s="14" t="n"/>
      <c r="D86" s="9" t="n"/>
      <c r="E86" s="14" t="n"/>
      <c r="F86" s="9" t="n"/>
      <c r="G86" s="14" t="n"/>
      <c r="H86" s="14" t="n"/>
      <c r="I86" s="9" t="n"/>
      <c r="J86" s="14" t="n"/>
      <c r="K86" s="14" t="n"/>
      <c r="L86" s="14" t="n"/>
      <c r="M86" s="14" t="n"/>
      <c r="N86" s="3" t="n"/>
      <c r="O86" s="9" t="n"/>
      <c r="P86" s="14" t="n"/>
      <c r="Q86" s="14" t="n"/>
      <c r="R86" s="14" t="n"/>
      <c r="S86" s="14" t="n"/>
      <c r="T86" s="14" t="n"/>
      <c r="U86" s="14" t="n"/>
      <c r="V86" s="9" t="n"/>
      <c r="W86" s="9" t="n"/>
      <c r="X86" s="14" t="n"/>
      <c r="Y86" s="9" t="n"/>
      <c r="Z86" s="9" t="n"/>
      <c r="AA86" s="14" t="n"/>
      <c r="AB86" s="14" t="n"/>
      <c r="AC86" s="9" t="n"/>
      <c r="AD86" s="14" t="n"/>
      <c r="AE86" s="14" t="n"/>
      <c r="AF86" s="14" t="n"/>
      <c r="AG86" s="14" t="n"/>
    </row>
    <row r="87">
      <c r="A87" s="14" t="n"/>
      <c r="B87" s="14" t="n"/>
      <c r="C87" s="14" t="n"/>
      <c r="D87" s="9" t="n"/>
      <c r="E87" s="14" t="n"/>
      <c r="F87" s="9" t="n"/>
      <c r="G87" s="14" t="n"/>
      <c r="H87" s="14" t="n"/>
      <c r="I87" s="9" t="n"/>
      <c r="J87" s="14" t="n"/>
      <c r="K87" s="14" t="n"/>
      <c r="L87" s="14" t="n"/>
      <c r="M87" s="14" t="n"/>
      <c r="N87" s="3" t="n"/>
      <c r="O87" s="9" t="n"/>
      <c r="P87" s="14" t="n"/>
      <c r="Q87" s="14" t="n"/>
      <c r="R87" s="14" t="n"/>
      <c r="S87" s="14" t="n"/>
      <c r="T87" s="14" t="n"/>
      <c r="U87" s="14" t="n"/>
      <c r="V87" s="9" t="n"/>
      <c r="W87" s="9" t="n"/>
      <c r="X87" s="14" t="n"/>
      <c r="Y87" s="9" t="n"/>
      <c r="Z87" s="9" t="n"/>
      <c r="AA87" s="14" t="n"/>
      <c r="AB87" s="14" t="n"/>
      <c r="AC87" s="9" t="n"/>
      <c r="AD87" s="14" t="n"/>
      <c r="AE87" s="14" t="n"/>
      <c r="AF87" s="14" t="n"/>
      <c r="AG87" s="14" t="n"/>
    </row>
    <row r="88">
      <c r="A88" s="14" t="n"/>
      <c r="B88" s="14" t="n"/>
      <c r="C88" s="14" t="n"/>
      <c r="D88" s="9" t="n"/>
      <c r="E88" s="14" t="n"/>
      <c r="F88" s="9" t="n"/>
      <c r="G88" s="14" t="n"/>
      <c r="H88" s="14" t="n"/>
      <c r="I88" s="9" t="n"/>
      <c r="J88" s="14" t="n"/>
      <c r="K88" s="14" t="n"/>
      <c r="L88" s="14" t="n"/>
      <c r="M88" s="14" t="n"/>
      <c r="N88" s="3" t="n"/>
      <c r="O88" s="9" t="n"/>
      <c r="P88" s="14" t="n"/>
      <c r="Q88" s="14" t="n"/>
      <c r="R88" s="14" t="n"/>
      <c r="S88" s="14" t="n"/>
      <c r="T88" s="14" t="n"/>
      <c r="U88" s="14" t="n"/>
      <c r="V88" s="9" t="n"/>
      <c r="W88" s="9" t="n"/>
      <c r="X88" s="14" t="n"/>
      <c r="Y88" s="9" t="n"/>
      <c r="Z88" s="9" t="n"/>
      <c r="AA88" s="14" t="n"/>
      <c r="AB88" s="14" t="n"/>
      <c r="AC88" s="9" t="n"/>
      <c r="AD88" s="14" t="n"/>
      <c r="AE88" s="14" t="n"/>
      <c r="AF88" s="14" t="n"/>
      <c r="AG88" s="14" t="n"/>
    </row>
    <row r="89">
      <c r="A89" s="14" t="n"/>
      <c r="B89" s="14" t="n"/>
      <c r="C89" s="14" t="n"/>
      <c r="D89" s="9" t="n"/>
      <c r="E89" s="14" t="n"/>
      <c r="F89" s="9" t="n"/>
      <c r="G89" s="14" t="n"/>
      <c r="H89" s="14" t="n"/>
      <c r="I89" s="9" t="n"/>
      <c r="J89" s="14" t="n"/>
      <c r="K89" s="14" t="n"/>
      <c r="L89" s="14" t="n"/>
      <c r="M89" s="14" t="n"/>
      <c r="N89" s="3" t="n"/>
      <c r="O89" s="9" t="n"/>
      <c r="P89" s="14" t="n"/>
      <c r="Q89" s="14" t="n"/>
      <c r="R89" s="14" t="n"/>
      <c r="S89" s="14" t="n"/>
      <c r="T89" s="14" t="n"/>
      <c r="U89" s="14" t="n"/>
      <c r="V89" s="9" t="n"/>
      <c r="W89" s="9" t="n"/>
      <c r="X89" s="14" t="n"/>
      <c r="Y89" s="9" t="n"/>
      <c r="Z89" s="9" t="n"/>
      <c r="AA89" s="14" t="n"/>
      <c r="AB89" s="14" t="n"/>
      <c r="AC89" s="9" t="n"/>
      <c r="AD89" s="14" t="n"/>
      <c r="AE89" s="14" t="n"/>
      <c r="AF89" s="14" t="n"/>
      <c r="AG89" s="14" t="n"/>
    </row>
    <row r="90">
      <c r="A90" s="14" t="n"/>
      <c r="B90" s="14" t="n"/>
      <c r="C90" s="14" t="n"/>
      <c r="D90" s="9" t="n"/>
      <c r="E90" s="14" t="n"/>
      <c r="F90" s="9" t="n"/>
      <c r="G90" s="14" t="n"/>
      <c r="H90" s="14" t="n"/>
      <c r="I90" s="9" t="n"/>
      <c r="J90" s="14" t="n"/>
      <c r="K90" s="14" t="n"/>
      <c r="L90" s="14" t="n"/>
      <c r="M90" s="14" t="n"/>
      <c r="N90" s="3" t="n"/>
      <c r="O90" s="9" t="n"/>
      <c r="P90" s="14" t="n"/>
      <c r="Q90" s="14" t="n"/>
      <c r="R90" s="14" t="n"/>
      <c r="S90" s="14" t="n"/>
      <c r="T90" s="14" t="n"/>
      <c r="U90" s="14" t="n"/>
      <c r="V90" s="9" t="n"/>
      <c r="W90" s="9" t="n"/>
      <c r="X90" s="14" t="n"/>
      <c r="Y90" s="9" t="n"/>
      <c r="Z90" s="9" t="n"/>
      <c r="AA90" s="14" t="n"/>
      <c r="AB90" s="14" t="n"/>
      <c r="AC90" s="9" t="n"/>
      <c r="AD90" s="14" t="n"/>
      <c r="AE90" s="14" t="n"/>
      <c r="AF90" s="14" t="n"/>
      <c r="AG90" s="14" t="n"/>
    </row>
    <row r="91">
      <c r="A91" s="14" t="n"/>
      <c r="B91" s="14" t="n"/>
      <c r="C91" s="14" t="n"/>
      <c r="D91" s="9" t="n"/>
      <c r="E91" s="14" t="n"/>
      <c r="F91" s="9" t="n"/>
      <c r="G91" s="14" t="n"/>
      <c r="H91" s="14" t="n"/>
      <c r="I91" s="9" t="n"/>
      <c r="J91" s="14" t="n"/>
      <c r="K91" s="14" t="n"/>
      <c r="L91" s="14" t="n"/>
      <c r="M91" s="14" t="n"/>
      <c r="N91" s="3" t="n"/>
      <c r="O91" s="9" t="n"/>
      <c r="P91" s="14" t="n"/>
      <c r="Q91" s="14" t="n"/>
      <c r="R91" s="14" t="n"/>
      <c r="S91" s="14" t="n"/>
      <c r="T91" s="14" t="n"/>
      <c r="U91" s="14" t="n"/>
      <c r="V91" s="9" t="n"/>
      <c r="W91" s="9" t="n"/>
      <c r="X91" s="14" t="n"/>
      <c r="Y91" s="9" t="n"/>
      <c r="Z91" s="9" t="n"/>
      <c r="AA91" s="14" t="n"/>
      <c r="AB91" s="14" t="n"/>
      <c r="AC91" s="9" t="n"/>
      <c r="AD91" s="14" t="n"/>
      <c r="AE91" s="14" t="n"/>
      <c r="AF91" s="14" t="n"/>
      <c r="AG91" s="14" t="n"/>
    </row>
    <row r="92">
      <c r="A92" s="14" t="n"/>
      <c r="B92" s="14" t="n"/>
      <c r="C92" s="14" t="n"/>
      <c r="D92" s="9" t="n"/>
      <c r="E92" s="14" t="n"/>
      <c r="F92" s="9" t="n"/>
      <c r="G92" s="14" t="n"/>
      <c r="H92" s="14" t="n"/>
      <c r="I92" s="9" t="n"/>
      <c r="J92" s="14" t="n"/>
      <c r="K92" s="14" t="n"/>
      <c r="L92" s="14" t="n"/>
      <c r="M92" s="14" t="n"/>
      <c r="N92" s="3" t="n"/>
      <c r="O92" s="9" t="n"/>
      <c r="P92" s="14" t="n"/>
      <c r="Q92" s="14" t="n"/>
      <c r="R92" s="14" t="n"/>
      <c r="S92" s="14" t="n"/>
      <c r="T92" s="14" t="n"/>
      <c r="U92" s="14" t="n"/>
      <c r="V92" s="9" t="n"/>
      <c r="W92" s="9" t="n"/>
      <c r="X92" s="14" t="n"/>
      <c r="Y92" s="9" t="n"/>
      <c r="Z92" s="9" t="n"/>
      <c r="AA92" s="14" t="n"/>
      <c r="AB92" s="14" t="n"/>
      <c r="AC92" s="9" t="n"/>
      <c r="AD92" s="14" t="n"/>
      <c r="AE92" s="14" t="n"/>
      <c r="AF92" s="14" t="n"/>
      <c r="AG92" s="14" t="n"/>
    </row>
    <row r="93">
      <c r="A93" s="14" t="n"/>
      <c r="B93" s="14" t="n"/>
      <c r="C93" s="14" t="n"/>
      <c r="D93" s="9" t="n"/>
      <c r="E93" s="14" t="n"/>
      <c r="F93" s="9" t="n"/>
      <c r="G93" s="14" t="n"/>
      <c r="H93" s="14" t="n"/>
      <c r="I93" s="9" t="n"/>
      <c r="J93" s="14" t="n"/>
      <c r="K93" s="14" t="n"/>
      <c r="L93" s="14" t="n"/>
      <c r="M93" s="14" t="n"/>
      <c r="N93" s="3" t="n"/>
      <c r="O93" s="9" t="n"/>
      <c r="P93" s="14" t="n"/>
      <c r="Q93" s="14" t="n"/>
      <c r="R93" s="14" t="n"/>
      <c r="S93" s="14" t="n"/>
      <c r="T93" s="14" t="n"/>
      <c r="U93" s="14" t="n"/>
      <c r="V93" s="9" t="n"/>
      <c r="W93" s="9" t="n"/>
      <c r="X93" s="14" t="n"/>
      <c r="Y93" s="9" t="n"/>
      <c r="Z93" s="9" t="n"/>
      <c r="AA93" s="14" t="n"/>
      <c r="AB93" s="14" t="n"/>
      <c r="AC93" s="9" t="n"/>
      <c r="AD93" s="14" t="n"/>
      <c r="AE93" s="14" t="n"/>
      <c r="AF93" s="14" t="n"/>
      <c r="AG93" s="14" t="n"/>
    </row>
    <row r="94">
      <c r="A94" s="14" t="n"/>
      <c r="B94" s="14" t="n"/>
      <c r="C94" s="14" t="n"/>
      <c r="D94" s="9" t="n"/>
      <c r="E94" s="14" t="n"/>
      <c r="F94" s="9" t="n"/>
      <c r="G94" s="14" t="n"/>
      <c r="H94" s="14" t="n"/>
      <c r="I94" s="9" t="n"/>
      <c r="J94" s="14" t="n"/>
      <c r="K94" s="14" t="n"/>
      <c r="L94" s="14" t="n"/>
      <c r="M94" s="14" t="n"/>
      <c r="N94" s="3" t="n"/>
      <c r="O94" s="9" t="n"/>
      <c r="P94" s="14" t="n"/>
      <c r="Q94" s="14" t="n"/>
      <c r="R94" s="14" t="n"/>
      <c r="S94" s="14" t="n"/>
      <c r="T94" s="14" t="n"/>
      <c r="U94" s="14" t="n"/>
      <c r="V94" s="9" t="n"/>
      <c r="W94" s="9" t="n"/>
      <c r="X94" s="14" t="n"/>
      <c r="Y94" s="9" t="n"/>
      <c r="Z94" s="9" t="n"/>
      <c r="AA94" s="14" t="n"/>
      <c r="AB94" s="14" t="n"/>
      <c r="AC94" s="9" t="n"/>
      <c r="AD94" s="14" t="n"/>
      <c r="AE94" s="14" t="n"/>
      <c r="AF94" s="14" t="n"/>
      <c r="AG94" s="14" t="n"/>
    </row>
    <row r="95">
      <c r="A95" s="14" t="n"/>
      <c r="B95" s="14" t="n"/>
      <c r="C95" s="14" t="n"/>
      <c r="D95" s="9" t="n"/>
      <c r="E95" s="14" t="n"/>
      <c r="F95" s="9" t="n"/>
      <c r="G95" s="14" t="n"/>
      <c r="H95" s="14" t="n"/>
      <c r="I95" s="9" t="n"/>
      <c r="J95" s="14" t="n"/>
      <c r="K95" s="14" t="n"/>
      <c r="L95" s="14" t="n"/>
      <c r="M95" s="14" t="n"/>
      <c r="N95" s="3" t="n"/>
      <c r="O95" s="9" t="n"/>
      <c r="P95" s="14" t="n"/>
      <c r="Q95" s="14" t="n"/>
      <c r="R95" s="14" t="n"/>
      <c r="S95" s="14" t="n"/>
      <c r="T95" s="14" t="n"/>
      <c r="U95" s="14" t="n"/>
      <c r="V95" s="9" t="n"/>
      <c r="W95" s="9" t="n"/>
      <c r="X95" s="14" t="n"/>
      <c r="Y95" s="9" t="n"/>
      <c r="Z95" s="9" t="n"/>
      <c r="AA95" s="14" t="n"/>
      <c r="AB95" s="14" t="n"/>
      <c r="AC95" s="9" t="n"/>
      <c r="AD95" s="14" t="n"/>
      <c r="AE95" s="14" t="n"/>
      <c r="AF95" s="14" t="n"/>
      <c r="AG95" s="14" t="n"/>
    </row>
    <row r="96">
      <c r="A96" s="14" t="n"/>
      <c r="B96" s="14" t="n"/>
      <c r="C96" s="14" t="n"/>
      <c r="D96" s="9" t="n"/>
      <c r="E96" s="14" t="n"/>
      <c r="F96" s="9" t="n"/>
      <c r="G96" s="14" t="n"/>
      <c r="H96" s="14" t="n"/>
      <c r="I96" s="9" t="n"/>
      <c r="J96" s="14" t="n"/>
      <c r="K96" s="14" t="n"/>
      <c r="L96" s="14" t="n"/>
      <c r="M96" s="14" t="n"/>
      <c r="N96" s="3" t="n"/>
      <c r="O96" s="9" t="n"/>
      <c r="P96" s="14" t="n"/>
      <c r="Q96" s="14" t="n"/>
      <c r="R96" s="14" t="n"/>
      <c r="S96" s="14" t="n"/>
      <c r="T96" s="14" t="n"/>
      <c r="U96" s="14" t="n"/>
      <c r="V96" s="9" t="n"/>
      <c r="W96" s="9" t="n"/>
      <c r="X96" s="14" t="n"/>
      <c r="Y96" s="9" t="n"/>
      <c r="Z96" s="9" t="n"/>
      <c r="AA96" s="14" t="n"/>
      <c r="AB96" s="14" t="n"/>
      <c r="AC96" s="9" t="n"/>
      <c r="AD96" s="14" t="n"/>
      <c r="AE96" s="14" t="n"/>
      <c r="AF96" s="14" t="n"/>
      <c r="AG96" s="14" t="n"/>
    </row>
    <row r="97">
      <c r="A97" s="14" t="n"/>
      <c r="B97" s="14" t="n"/>
      <c r="C97" s="14" t="n"/>
      <c r="D97" s="9" t="n"/>
      <c r="E97" s="14" t="n"/>
      <c r="F97" s="9" t="n"/>
      <c r="G97" s="14" t="n"/>
      <c r="H97" s="14" t="n"/>
      <c r="I97" s="9" t="n"/>
      <c r="J97" s="14" t="n"/>
      <c r="K97" s="14" t="n"/>
      <c r="L97" s="14" t="n"/>
      <c r="M97" s="14" t="n"/>
      <c r="N97" s="3" t="n"/>
      <c r="O97" s="9" t="n"/>
      <c r="P97" s="14" t="n"/>
      <c r="Q97" s="14" t="n"/>
      <c r="R97" s="14" t="n"/>
      <c r="S97" s="14" t="n"/>
      <c r="T97" s="14" t="n"/>
      <c r="U97" s="14" t="n"/>
      <c r="V97" s="9" t="n"/>
      <c r="W97" s="9" t="n"/>
      <c r="X97" s="14" t="n"/>
      <c r="Y97" s="9" t="n"/>
      <c r="Z97" s="9" t="n"/>
      <c r="AA97" s="14" t="n"/>
      <c r="AB97" s="14" t="n"/>
      <c r="AC97" s="9" t="n"/>
      <c r="AD97" s="14" t="n"/>
      <c r="AE97" s="14" t="n"/>
      <c r="AF97" s="14" t="n"/>
      <c r="AG97" s="14" t="n"/>
    </row>
    <row r="98">
      <c r="A98" s="14" t="n"/>
      <c r="B98" s="14" t="n"/>
      <c r="C98" s="14" t="n"/>
      <c r="D98" s="9" t="n"/>
      <c r="E98" s="14" t="n"/>
      <c r="F98" s="9" t="n"/>
      <c r="G98" s="14" t="n"/>
      <c r="H98" s="14" t="n"/>
      <c r="I98" s="9" t="n"/>
      <c r="J98" s="14" t="n"/>
      <c r="K98" s="14" t="n"/>
      <c r="L98" s="14" t="n"/>
      <c r="M98" s="14" t="n"/>
      <c r="N98" s="3" t="n"/>
      <c r="O98" s="9" t="n"/>
      <c r="P98" s="14" t="n"/>
      <c r="Q98" s="14" t="n"/>
      <c r="R98" s="14" t="n"/>
      <c r="S98" s="14" t="n"/>
      <c r="T98" s="14" t="n"/>
      <c r="U98" s="14" t="n"/>
      <c r="V98" s="9" t="n"/>
      <c r="W98" s="9" t="n"/>
      <c r="X98" s="14" t="n"/>
      <c r="Y98" s="9" t="n"/>
      <c r="Z98" s="9" t="n"/>
      <c r="AA98" s="14" t="n"/>
      <c r="AB98" s="14" t="n"/>
      <c r="AC98" s="9" t="n"/>
      <c r="AD98" s="14" t="n"/>
      <c r="AE98" s="14" t="n"/>
      <c r="AF98" s="14" t="n"/>
      <c r="AG98" s="14" t="n"/>
    </row>
    <row r="99">
      <c r="A99" s="14" t="n"/>
      <c r="B99" s="14" t="n"/>
      <c r="C99" s="14" t="n"/>
      <c r="D99" s="9" t="n"/>
      <c r="E99" s="14" t="n"/>
      <c r="F99" s="9" t="n"/>
      <c r="G99" s="14" t="n"/>
      <c r="H99" s="14" t="n"/>
      <c r="I99" s="9" t="n"/>
      <c r="J99" s="14" t="n"/>
      <c r="K99" s="14" t="n"/>
      <c r="L99" s="14" t="n"/>
      <c r="M99" s="14" t="n"/>
      <c r="N99" s="3" t="n"/>
      <c r="O99" s="9" t="n"/>
      <c r="P99" s="14" t="n"/>
      <c r="Q99" s="14" t="n"/>
      <c r="R99" s="14" t="n"/>
      <c r="S99" s="14" t="n"/>
      <c r="T99" s="14" t="n"/>
      <c r="U99" s="14" t="n"/>
      <c r="V99" s="9" t="n"/>
      <c r="W99" s="9" t="n"/>
      <c r="X99" s="14" t="n"/>
      <c r="Y99" s="9" t="n"/>
      <c r="Z99" s="9" t="n"/>
      <c r="AA99" s="14" t="n"/>
      <c r="AB99" s="14" t="n"/>
      <c r="AC99" s="9" t="n"/>
      <c r="AD99" s="14" t="n"/>
      <c r="AE99" s="14" t="n"/>
      <c r="AF99" s="14" t="n"/>
      <c r="AG99" s="14" t="n"/>
    </row>
    <row r="100">
      <c r="A100" s="14" t="n"/>
      <c r="B100" s="14" t="n"/>
      <c r="C100" s="14" t="n"/>
      <c r="D100" s="9" t="n"/>
      <c r="E100" s="14" t="n"/>
      <c r="F100" s="9" t="n"/>
      <c r="G100" s="14" t="n"/>
      <c r="H100" s="14" t="n"/>
      <c r="I100" s="9" t="n"/>
      <c r="J100" s="14" t="n"/>
      <c r="K100" s="14" t="n"/>
      <c r="L100" s="14" t="n"/>
      <c r="M100" s="14" t="n"/>
      <c r="N100" s="3" t="n"/>
      <c r="O100" s="9" t="n"/>
      <c r="P100" s="14" t="n"/>
      <c r="Q100" s="14" t="n"/>
      <c r="R100" s="14" t="n"/>
      <c r="S100" s="14" t="n"/>
      <c r="T100" s="14" t="n"/>
      <c r="U100" s="14" t="n"/>
      <c r="V100" s="9" t="n"/>
      <c r="W100" s="9" t="n"/>
      <c r="X100" s="14" t="n"/>
      <c r="Y100" s="9" t="n"/>
      <c r="Z100" s="9" t="n"/>
      <c r="AA100" s="14" t="n"/>
      <c r="AB100" s="14" t="n"/>
      <c r="AC100" s="9" t="n"/>
      <c r="AD100" s="14" t="n"/>
      <c r="AE100" s="14" t="n"/>
      <c r="AF100" s="14" t="n"/>
      <c r="AG100" s="14" t="n"/>
    </row>
    <row r="101">
      <c r="A101" s="14" t="n"/>
      <c r="B101" s="14" t="n"/>
      <c r="C101" s="14" t="n"/>
      <c r="D101" s="9" t="n"/>
      <c r="E101" s="14" t="n"/>
      <c r="F101" s="9" t="n"/>
      <c r="G101" s="14" t="n"/>
      <c r="H101" s="14" t="n"/>
      <c r="I101" s="9" t="n"/>
      <c r="J101" s="14" t="n"/>
      <c r="K101" s="14" t="n"/>
      <c r="L101" s="14" t="n"/>
      <c r="M101" s="14" t="n"/>
      <c r="N101" s="3" t="n"/>
      <c r="O101" s="9" t="n"/>
      <c r="P101" s="14" t="n"/>
      <c r="Q101" s="14" t="n"/>
      <c r="R101" s="14" t="n"/>
      <c r="S101" s="14" t="n"/>
      <c r="T101" s="14" t="n"/>
      <c r="U101" s="14" t="n"/>
      <c r="V101" s="9" t="n"/>
      <c r="W101" s="9" t="n"/>
      <c r="X101" s="14" t="n"/>
      <c r="Y101" s="9" t="n"/>
      <c r="Z101" s="9" t="n"/>
      <c r="AA101" s="14" t="n"/>
      <c r="AB101" s="14" t="n"/>
      <c r="AC101" s="9" t="n"/>
      <c r="AD101" s="14" t="n"/>
      <c r="AE101" s="14" t="n"/>
      <c r="AF101" s="14" t="n"/>
      <c r="AG101" s="14" t="n"/>
    </row>
    <row r="102">
      <c r="A102" s="14" t="n"/>
      <c r="B102" s="14" t="n"/>
      <c r="C102" s="14" t="n"/>
      <c r="D102" s="9" t="n"/>
      <c r="E102" s="14" t="n"/>
      <c r="F102" s="9" t="n"/>
      <c r="G102" s="14" t="n"/>
      <c r="H102" s="14" t="n"/>
      <c r="I102" s="9" t="n"/>
      <c r="J102" s="14" t="n"/>
      <c r="K102" s="14" t="n"/>
      <c r="L102" s="14" t="n"/>
      <c r="M102" s="14" t="n"/>
      <c r="N102" s="3" t="n"/>
      <c r="O102" s="9" t="n"/>
      <c r="P102" s="14" t="n"/>
      <c r="Q102" s="14" t="n"/>
      <c r="R102" s="14" t="n"/>
      <c r="S102" s="14" t="n"/>
      <c r="T102" s="14" t="n"/>
      <c r="U102" s="14" t="n"/>
      <c r="V102" s="9" t="n"/>
      <c r="W102" s="9" t="n"/>
      <c r="X102" s="14" t="n"/>
      <c r="Y102" s="9" t="n"/>
      <c r="Z102" s="9" t="n"/>
      <c r="AA102" s="14" t="n"/>
      <c r="AB102" s="14" t="n"/>
      <c r="AC102" s="9" t="n"/>
      <c r="AD102" s="14" t="n"/>
      <c r="AE102" s="14" t="n"/>
      <c r="AF102" s="14" t="n"/>
      <c r="AG102" s="14" t="n"/>
    </row>
    <row r="103">
      <c r="A103" s="14" t="n"/>
      <c r="B103" s="14" t="n"/>
      <c r="C103" s="14" t="n"/>
      <c r="D103" s="9" t="n"/>
      <c r="E103" s="14" t="n"/>
      <c r="F103" s="9" t="n"/>
      <c r="G103" s="14" t="n"/>
      <c r="H103" s="14" t="n"/>
      <c r="I103" s="9" t="n"/>
      <c r="J103" s="14" t="n"/>
      <c r="K103" s="14" t="n"/>
      <c r="L103" s="14" t="n"/>
      <c r="M103" s="14" t="n"/>
      <c r="N103" s="3" t="n"/>
      <c r="O103" s="9" t="n"/>
      <c r="P103" s="14" t="n"/>
      <c r="Q103" s="14" t="n"/>
      <c r="R103" s="14" t="n"/>
      <c r="S103" s="14" t="n"/>
      <c r="T103" s="14" t="n"/>
      <c r="U103" s="14" t="n"/>
      <c r="V103" s="9" t="n"/>
      <c r="W103" s="9" t="n"/>
      <c r="X103" s="14" t="n"/>
      <c r="Y103" s="9" t="n"/>
      <c r="Z103" s="9" t="n"/>
      <c r="AA103" s="14" t="n"/>
      <c r="AB103" s="14" t="n"/>
      <c r="AC103" s="9" t="n"/>
      <c r="AD103" s="14" t="n"/>
      <c r="AE103" s="14" t="n"/>
      <c r="AF103" s="14" t="n"/>
      <c r="AG103" s="14" t="n"/>
    </row>
    <row r="104">
      <c r="A104" s="14" t="n"/>
      <c r="B104" s="14" t="n"/>
      <c r="C104" s="14" t="n"/>
      <c r="D104" s="9" t="n"/>
      <c r="E104" s="14" t="n"/>
      <c r="F104" s="9" t="n"/>
      <c r="G104" s="14" t="n"/>
      <c r="H104" s="14" t="n"/>
      <c r="I104" s="9" t="n"/>
      <c r="J104" s="14" t="n"/>
      <c r="K104" s="14" t="n"/>
      <c r="L104" s="14" t="n"/>
      <c r="M104" s="14" t="n"/>
      <c r="N104" s="3" t="n"/>
      <c r="O104" s="9" t="n"/>
      <c r="P104" s="14" t="n"/>
      <c r="Q104" s="14" t="n"/>
      <c r="R104" s="14" t="n"/>
      <c r="S104" s="14" t="n"/>
      <c r="T104" s="14" t="n"/>
      <c r="U104" s="14" t="n"/>
      <c r="V104" s="9" t="n"/>
      <c r="W104" s="9" t="n"/>
      <c r="X104" s="14" t="n"/>
      <c r="Y104" s="9" t="n"/>
      <c r="Z104" s="9" t="n"/>
      <c r="AA104" s="14" t="n"/>
      <c r="AB104" s="14" t="n"/>
      <c r="AC104" s="9" t="n"/>
      <c r="AD104" s="14" t="n"/>
      <c r="AE104" s="14" t="n"/>
      <c r="AF104" s="14" t="n"/>
      <c r="AG104" s="14" t="n"/>
    </row>
  </sheetData>
  <mergeCells count="2">
    <mergeCell ref="A2:AG2"/>
    <mergeCell ref="A1:AG1"/>
  </mergeCells>
  <dataValidations count="22">
    <dataValidation sqref="B5:B104" showDropDown="0" showInputMessage="0" showErrorMessage="0" allowBlank="1" type="list">
      <formula1>"Curative,Disease control (locally advanced),Palliative / Symptomatic,Active surveillance,Watchful waiting"</formula1>
    </dataValidation>
    <dataValidation sqref="C5:C104" showDropDown="0" showInputMessage="0" showErrorMessage="0" allowBlank="1" type="list">
      <formula1>"Pending review,Reviewed — plan agreed,Not applicable"</formula1>
    </dataValidation>
    <dataValidation sqref="D5:D104 F5:F104 I5:I104 O5:O104 V5:W104 Y5:Z104 AC5:AC104" showDropDown="0" showInputMessage="0" showErrorMessage="0" allowBlank="0" type="date">
      <formula1>DATE(1900,1,1)</formula1>
      <formula2>DATE(2100,12,31)</formula2>
    </dataValidation>
    <dataValidation sqref="E5:E104" showDropDown="0" showInputMessage="0" showErrorMessage="0" allowBlank="1" type="list">
      <formula1>"Not screened,Eligible — under screening,Enrolled in trial,Not eligible"</formula1>
    </dataValidation>
    <dataValidation sqref="G5:G104" showDropDown="0" showInputMessage="0" showErrorMessage="0" allowBlank="1" type="list">
      <formula1>"Not on ADT,LHRH Agonist (Leuprolide / Lupride),LHRH Agonist (Triptorelin / Decapeptyl),LHRH Agonist (Goserelin / Zoladex),GnRH Antagonist (Degarelix / Firmagon),Bilateral orchidectomy"</formula1>
    </dataValidation>
    <dataValidation sqref="H5:H104" showDropDown="0" showInputMessage="0" showErrorMessage="0" allowBlank="1" type="list">
      <formula1>"Leuprolide 11.25 mg (monthly),Leuprolide 22.5 mg depot (3-monthly),Leuprolide 45 mg depot (6-monthly),Goserelin 3.6 mg (monthly),Goserelin 10.8 mg (3-monthly)"</formula1>
    </dataValidation>
    <dataValidation sqref="J5:J104" showDropDown="0" showInputMessage="0" showErrorMessage="0" allowBlank="1" type="list">
      <formula1>"None,Bicalutamide 50 mg OD (flare cover),Bicalutamide 150 mg OD,Enzalutamide 160 mg OD,Apalutamide 240 mg OD,Darolutamide 1200 mg/day"</formula1>
    </dataValidation>
    <dataValidation sqref="K5:K104" showDropDown="0" showInputMessage="0" showErrorMessage="0" allowBlank="1" type="list">
      <formula1>"Not initiated,Abiraterone + Prednisone (Zytiga / generic),Enzalutamide (Xtandi),Apalutamide (Erleada),Darolutamide (Nubeqa)"</formula1>
    </dataValidation>
    <dataValidation sqref="M5:M104" showDropDown="0" showInputMessage="0" showErrorMessage="0" allowBlank="1" type="list">
      <formula1>"Not indicated / Not started,Docetaxel 75 mg/m² q3w,Cabazitaxel 25 mg/m² q3w,Docetaxel → Cabazitaxel (sequential)"</formula1>
    </dataValidation>
    <dataValidation sqref="N5:N104" showDropDown="0" showInputMessage="0" showErrorMessage="1" allowBlank="0" errorTitle="Invalid number" error="Enter a whole number between 0 and 20." type="whole">
      <formula1>0</formula1>
      <formula2>20</formula2>
    </dataValidation>
    <dataValidation sqref="P5:P104" showDropDown="0" showInputMessage="0" showErrorMessage="0" allowBlank="1" type="list">
      <formula1>"Not planned,Definitive RT (prostate ± LN),Planned — awaiting CGHS approval,Salvage RT (post-RP),Palliative RT (bone mets)"</formula1>
    </dataValidation>
    <dataValidation sqref="Q5:Q104" showDropDown="0" showInputMessage="0" showErrorMessage="0" allowBlank="1" type="list">
      <formula1>"Not started,Planned,Active / Ongoing,Completed,Deferred / Cancelled"</formula1>
    </dataValidation>
    <dataValidation sqref="R5:R104" showDropDown="0" showInputMessage="0" showErrorMessage="0" allowBlank="1" type="list">
      <formula1>"IMRT / VMAT,3D-CRT,SBRT (5 fractions),LDR Brachytherapy,HDR Brachytherapy boost,Proton therapy"</formula1>
    </dataValidation>
    <dataValidation sqref="S5:S104" showDropDown="0" showInputMessage="0" showErrorMessage="0" allowBlank="1" type="list">
      <formula1>"Prostate only,Prostate + Whole Pelvis,Prostate + SV + LN"</formula1>
    </dataValidation>
    <dataValidation sqref="T5:T104" showDropDown="0" showInputMessage="0" showErrorMessage="0" allowBlank="1" type="list">
      <formula1>"60 Gy / 20 fx (moderate hypofractionation),78 Gy / 39 fx (conventional),36.25 Gy / 5 fx (SBRT),Other / to be defined"</formula1>
    </dataValidation>
    <dataValidation sqref="U5:U104" showDropDown="0" showInputMessage="0" showErrorMessage="0" allowBlank="1" type="list">
      <formula1>"AIIMS New Delhi,Tata Memorial Centre,RGCI Delhi,Max Cancer Centre,Fortis,Govt. Regional Cancer Centre"</formula1>
    </dataValidation>
    <dataValidation sqref="X5:X104" showDropDown="0" showInputMessage="0" showErrorMessage="0" allowBlank="1" type="list">
      <formula1>"Not required,Not initiated,Pending,Approved,Rejected"</formula1>
    </dataValidation>
    <dataValidation sqref="AA5:AA104" showDropDown="0" showInputMessage="0" showErrorMessage="0" allowBlank="1" type="list">
      <formula1>"Not started,Zoledronic acid 4 mg IV q3m,Denosumab 120 mg SC q4w,Denosumab 60 mg SC q6m (osteoporosis),Not indicated"</formula1>
    </dataValidation>
    <dataValidation sqref="AB5:AB104" showDropDown="0" showInputMessage="0" showErrorMessage="0" allowBlank="1" type="list">
      <formula1>"Not prescribed,Calcium 500 mg + Vit D3 1000 IU OD,Calcium 1000 mg + Vit D3 OD"</formula1>
    </dataValidation>
    <dataValidation sqref="AD5:AD104" showDropDown="0" showInputMessage="0" showErrorMessage="0" allowBlank="1" type="list">
      <formula1>"Not checked this cycle,Castrate confirmed (&lt;50 ng/dL),Non-castrate — action needed"</formula1>
    </dataValidation>
    <dataValidation sqref="AE5:AE104" showDropDown="0" showInputMessage="0" showErrorMessage="0" allowBlank="1" type="list">
      <formula1>"Not done,Minimal (0–4),Mild (5–9),Moderate (10–14),Severe (≥15) — refer"</formula1>
    </dataValidation>
    <dataValidation sqref="AF5:AF104" showDropDown="0" showInputMessage="0" showErrorMessage="0" allowBlank="1" type="list">
      <formula1>"Not done,Normal,At risk — dietitian referral made,Malnourished"</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O104"/>
  <sheetViews>
    <sheetView showGridLines="0" zoomScale="80" zoomScaleNormal="80" workbookViewId="0">
      <selection activeCell="F27" sqref="F27"/>
    </sheetView>
  </sheetViews>
  <sheetFormatPr baseColWidth="8" defaultColWidth="8.875" defaultRowHeight="14.25"/>
  <cols>
    <col width="18" customWidth="1" min="1" max="1"/>
    <col width="16" customWidth="1" min="2" max="2"/>
    <col width="22" customWidth="1" min="3" max="3"/>
    <col width="16" customWidth="1" min="4" max="6"/>
    <col width="22" customWidth="1" min="7" max="7"/>
    <col width="16" customWidth="1" min="8" max="8"/>
    <col width="22" customWidth="1" min="9" max="9"/>
    <col width="16" customWidth="1" min="10" max="10"/>
    <col width="22" customWidth="1" min="11" max="11"/>
    <col width="18" customWidth="1" min="12" max="12"/>
    <col width="18" customWidth="1" min="13" max="13"/>
    <col width="18" customWidth="1" min="14" max="14"/>
    <col width="33" customWidth="1" min="15" max="15"/>
  </cols>
  <sheetData>
    <row r="1" ht="15.75" customHeight="1">
      <c r="A1" s="12" t="inlineStr">
        <is>
          <t>Outcomes Entry</t>
        </is>
      </c>
    </row>
    <row r="2">
      <c r="A2" s="13" t="inlineStr">
        <is>
          <t>One row per patient. This tab captures the outcome and follow-up markers used by the population outcomes section and summary cards.</t>
        </is>
      </c>
    </row>
    <row r="4" ht="45" customHeight="1">
      <c r="A4" s="2" t="inlineStr">
        <is>
          <t>Unique Patient Code *</t>
        </is>
      </c>
      <c r="B4" s="2" t="inlineStr">
        <is>
          <t>Last Follow-up Date</t>
        </is>
      </c>
      <c r="C4" s="2" t="inlineStr">
        <is>
          <t>Best Response</t>
        </is>
      </c>
      <c r="D4" s="2" t="inlineStr">
        <is>
          <t>PSA Nadir Value</t>
        </is>
      </c>
      <c r="E4" s="2" t="inlineStr">
        <is>
          <t>PSA Nadir Date</t>
        </is>
      </c>
      <c r="F4" s="2" t="inlineStr">
        <is>
          <t>PSA Doubling Time</t>
        </is>
      </c>
      <c r="G4" s="2" t="inlineStr">
        <is>
          <t>Biochemical Recurrence Status</t>
        </is>
      </c>
      <c r="H4" s="2" t="inlineStr">
        <is>
          <t>Biochemical Recurrence Date</t>
        </is>
      </c>
      <c r="I4" s="2" t="inlineStr">
        <is>
          <t>CRPC Progression Status</t>
        </is>
      </c>
      <c r="J4" s="2" t="inlineStr">
        <is>
          <t>CRPC Progression Date</t>
        </is>
      </c>
      <c r="K4" s="2" t="inlineStr">
        <is>
          <t>RT Outcome Status</t>
        </is>
      </c>
      <c r="L4" s="34" t="inlineStr">
        <is>
          <t>Vital Status</t>
        </is>
      </c>
      <c r="M4" s="34" t="inlineStr">
        <is>
          <t>Date of Death</t>
        </is>
      </c>
      <c r="N4" s="34" t="inlineStr">
        <is>
          <t>Cause of Death</t>
        </is>
      </c>
      <c r="O4" s="34" t="inlineStr">
        <is>
          <t>Progression-Free Survival Date</t>
        </is>
      </c>
    </row>
    <row r="5" ht="28.5" customHeight="1">
      <c r="A5" s="14" t="inlineStr">
        <is>
          <t>PCR-001</t>
        </is>
      </c>
      <c r="B5" s="9" t="n">
        <v>46058</v>
      </c>
      <c r="C5" s="14" t="inlineStr">
        <is>
          <t>Not yet assessable</t>
        </is>
      </c>
      <c r="D5" s="4" t="n"/>
      <c r="E5" s="9" t="n"/>
      <c r="F5" s="4" t="n"/>
      <c r="G5" s="14" t="inlineStr">
        <is>
          <t>Not assessed</t>
        </is>
      </c>
      <c r="H5" s="9" t="n"/>
      <c r="I5" s="14" t="inlineStr">
        <is>
          <t>No CRPC progression documented</t>
        </is>
      </c>
      <c r="J5" s="9" t="n"/>
      <c r="K5" s="14" t="inlineStr">
        <is>
          <t>Not yet assessed</t>
        </is>
      </c>
    </row>
    <row r="6" ht="28.5" customHeight="1">
      <c r="A6" s="14" t="inlineStr">
        <is>
          <t>PCR-002</t>
        </is>
      </c>
      <c r="B6" s="9" t="n">
        <v>46193</v>
      </c>
      <c r="C6" s="14" t="inlineStr">
        <is>
          <t>PSA response</t>
        </is>
      </c>
      <c r="D6" s="4" t="n">
        <v>0.8</v>
      </c>
      <c r="E6" s="9" t="n">
        <v>46127</v>
      </c>
      <c r="F6" s="4" t="n"/>
      <c r="G6" s="14" t="inlineStr">
        <is>
          <t>No recurrence documented</t>
        </is>
      </c>
      <c r="H6" s="9" t="n"/>
      <c r="I6" s="14" t="inlineStr">
        <is>
          <t>No CRPC progression documented</t>
        </is>
      </c>
      <c r="J6" s="9" t="n"/>
      <c r="K6" s="14" t="inlineStr">
        <is>
          <t>Stable disease</t>
        </is>
      </c>
    </row>
    <row r="7" ht="28.5" customHeight="1">
      <c r="A7" s="14" t="inlineStr">
        <is>
          <t>PCR-003</t>
        </is>
      </c>
      <c r="B7" s="9" t="n">
        <v>46191</v>
      </c>
      <c r="C7" s="14" t="inlineStr">
        <is>
          <t>PSA response</t>
        </is>
      </c>
      <c r="D7" s="4" t="n">
        <v>0.3</v>
      </c>
      <c r="E7" s="9" t="n">
        <v>46101</v>
      </c>
      <c r="F7" s="4" t="n"/>
      <c r="G7" s="14" t="inlineStr">
        <is>
          <t>No recurrence documented</t>
        </is>
      </c>
      <c r="H7" s="9" t="n"/>
      <c r="I7" s="14" t="inlineStr">
        <is>
          <t>No CRPC progression documented</t>
        </is>
      </c>
      <c r="J7" s="9" t="n"/>
      <c r="K7" s="14" t="inlineStr">
        <is>
          <t>Complete biochemical response</t>
        </is>
      </c>
    </row>
    <row r="8" ht="28.5" customHeight="1">
      <c r="A8" s="14" t="inlineStr">
        <is>
          <t>PCR-004</t>
        </is>
      </c>
      <c r="B8" s="9" t="n">
        <v>46201</v>
      </c>
      <c r="C8" s="14" t="inlineStr">
        <is>
          <t>Radiological progression</t>
        </is>
      </c>
      <c r="D8" s="4" t="n">
        <v>3.4</v>
      </c>
      <c r="E8" s="9" t="n">
        <v>45337</v>
      </c>
      <c r="F8" s="4" t="n">
        <v>4.2</v>
      </c>
      <c r="G8" s="14" t="inlineStr">
        <is>
          <t>No recurrence documented</t>
        </is>
      </c>
      <c r="H8" s="9" t="n"/>
      <c r="I8" s="14" t="inlineStr">
        <is>
          <t>Progressed to CRPC</t>
        </is>
      </c>
      <c r="J8" s="9" t="n">
        <v>46001</v>
      </c>
      <c r="K8" s="14" t="inlineStr">
        <is>
          <t>Not yet assessed</t>
        </is>
      </c>
    </row>
    <row r="9">
      <c r="A9" s="14" t="n"/>
      <c r="B9" s="9" t="n"/>
      <c r="C9" s="14" t="n"/>
      <c r="D9" s="4" t="n"/>
      <c r="E9" s="9" t="n"/>
      <c r="F9" s="4" t="n"/>
      <c r="G9" s="14" t="n"/>
      <c r="H9" s="9" t="n"/>
      <c r="I9" s="14" t="n"/>
      <c r="J9" s="9" t="n"/>
      <c r="K9" s="14" t="n"/>
    </row>
    <row r="10">
      <c r="A10" s="14" t="n"/>
      <c r="B10" s="9" t="n"/>
      <c r="C10" s="14" t="n"/>
      <c r="D10" s="4" t="n"/>
      <c r="E10" s="9" t="n"/>
      <c r="F10" s="4" t="n"/>
      <c r="G10" s="14" t="n"/>
      <c r="H10" s="9" t="n"/>
      <c r="I10" s="14" t="n"/>
      <c r="J10" s="9" t="n"/>
      <c r="K10" s="14" t="n"/>
    </row>
    <row r="11">
      <c r="A11" s="14" t="n"/>
      <c r="B11" s="9" t="n"/>
      <c r="C11" s="14" t="n"/>
      <c r="D11" s="4" t="n"/>
      <c r="E11" s="9" t="n"/>
      <c r="F11" s="4" t="n"/>
      <c r="G11" s="14" t="n"/>
      <c r="H11" s="9" t="n"/>
      <c r="I11" s="14" t="n"/>
      <c r="J11" s="9" t="n"/>
      <c r="K11" s="14" t="n"/>
    </row>
    <row r="12">
      <c r="A12" s="14" t="n"/>
      <c r="B12" s="9" t="n"/>
      <c r="C12" s="14" t="n"/>
      <c r="D12" s="4" t="n"/>
      <c r="E12" s="9" t="n"/>
      <c r="F12" s="4" t="n"/>
      <c r="G12" s="14" t="n"/>
      <c r="H12" s="9" t="n"/>
      <c r="I12" s="14" t="n"/>
      <c r="J12" s="9" t="n"/>
      <c r="K12" s="14" t="n"/>
    </row>
    <row r="13">
      <c r="A13" s="14" t="n"/>
      <c r="B13" s="9" t="n"/>
      <c r="C13" s="14" t="n"/>
      <c r="D13" s="4" t="n"/>
      <c r="E13" s="9" t="n"/>
      <c r="F13" s="4" t="n"/>
      <c r="G13" s="14" t="n"/>
      <c r="H13" s="9" t="n"/>
      <c r="I13" s="14" t="n"/>
      <c r="J13" s="9" t="n"/>
      <c r="K13" s="14" t="n"/>
    </row>
    <row r="14">
      <c r="A14" s="14" t="n"/>
      <c r="B14" s="9" t="n"/>
      <c r="C14" s="14" t="n"/>
      <c r="D14" s="4" t="n"/>
      <c r="E14" s="9" t="n"/>
      <c r="F14" s="4" t="n"/>
      <c r="G14" s="14" t="n"/>
      <c r="H14" s="9" t="n"/>
      <c r="I14" s="14" t="n"/>
      <c r="J14" s="9" t="n"/>
      <c r="K14" s="14" t="n"/>
    </row>
    <row r="15">
      <c r="A15" s="14" t="n"/>
      <c r="B15" s="9" t="n"/>
      <c r="C15" s="14" t="n"/>
      <c r="D15" s="4" t="n"/>
      <c r="E15" s="9" t="n"/>
      <c r="F15" s="4" t="n"/>
      <c r="G15" s="14" t="n"/>
      <c r="H15" s="9" t="n"/>
      <c r="I15" s="14" t="n"/>
      <c r="J15" s="9" t="n"/>
      <c r="K15" s="14" t="n"/>
    </row>
    <row r="16">
      <c r="A16" s="14" t="n"/>
      <c r="B16" s="9" t="n"/>
      <c r="C16" s="14" t="n"/>
      <c r="D16" s="4" t="n"/>
      <c r="E16" s="9" t="n"/>
      <c r="F16" s="4" t="n"/>
      <c r="G16" s="14" t="n"/>
      <c r="H16" s="9" t="n"/>
      <c r="I16" s="14" t="n"/>
      <c r="J16" s="9" t="n"/>
      <c r="K16" s="14" t="n"/>
    </row>
    <row r="17">
      <c r="A17" s="14" t="n"/>
      <c r="B17" s="9" t="n"/>
      <c r="C17" s="14" t="n"/>
      <c r="D17" s="4" t="n"/>
      <c r="E17" s="9" t="n"/>
      <c r="F17" s="4" t="n"/>
      <c r="G17" s="14" t="n"/>
      <c r="H17" s="9" t="n"/>
      <c r="I17" s="14" t="n"/>
      <c r="J17" s="9" t="n"/>
      <c r="K17" s="14" t="n"/>
    </row>
    <row r="18">
      <c r="A18" s="14" t="n"/>
      <c r="B18" s="9" t="n"/>
      <c r="C18" s="14" t="n"/>
      <c r="D18" s="4" t="n"/>
      <c r="E18" s="9" t="n"/>
      <c r="F18" s="4" t="n"/>
      <c r="G18" s="14" t="n"/>
      <c r="H18" s="9" t="n"/>
      <c r="I18" s="14" t="n"/>
      <c r="J18" s="9" t="n"/>
      <c r="K18" s="14" t="n"/>
    </row>
    <row r="19">
      <c r="A19" s="14" t="n"/>
      <c r="B19" s="9" t="n"/>
      <c r="C19" s="14" t="n"/>
      <c r="D19" s="4" t="n"/>
      <c r="E19" s="9" t="n"/>
      <c r="F19" s="4" t="n"/>
      <c r="G19" s="14" t="n"/>
      <c r="H19" s="9" t="n"/>
      <c r="I19" s="14" t="n"/>
      <c r="J19" s="9" t="n"/>
      <c r="K19" s="14" t="n"/>
    </row>
    <row r="20">
      <c r="A20" s="14" t="n"/>
      <c r="B20" s="9" t="n"/>
      <c r="C20" s="14" t="n"/>
      <c r="D20" s="4" t="n"/>
      <c r="E20" s="9" t="n"/>
      <c r="F20" s="4" t="n"/>
      <c r="G20" s="14" t="n"/>
      <c r="H20" s="9" t="n"/>
      <c r="I20" s="14" t="n"/>
      <c r="J20" s="9" t="n"/>
      <c r="K20" s="14" t="n"/>
    </row>
    <row r="21">
      <c r="A21" s="14" t="n"/>
      <c r="B21" s="9" t="n"/>
      <c r="C21" s="14" t="n"/>
      <c r="D21" s="4" t="n"/>
      <c r="E21" s="9" t="n"/>
      <c r="F21" s="4" t="n"/>
      <c r="G21" s="14" t="n"/>
      <c r="H21" s="9" t="n"/>
      <c r="I21" s="14" t="n"/>
      <c r="J21" s="9" t="n"/>
      <c r="K21" s="14" t="n"/>
    </row>
    <row r="22">
      <c r="A22" s="14" t="n"/>
      <c r="B22" s="9" t="n"/>
      <c r="C22" s="14" t="n"/>
      <c r="D22" s="4" t="n"/>
      <c r="E22" s="9" t="n"/>
      <c r="F22" s="4" t="n"/>
      <c r="G22" s="14" t="n"/>
      <c r="H22" s="9" t="n"/>
      <c r="I22" s="14" t="n"/>
      <c r="J22" s="9" t="n"/>
      <c r="K22" s="14" t="n"/>
    </row>
    <row r="23">
      <c r="A23" s="14" t="n"/>
      <c r="B23" s="9" t="n"/>
      <c r="C23" s="14" t="n"/>
      <c r="D23" s="4" t="n"/>
      <c r="E23" s="9" t="n"/>
      <c r="F23" s="4" t="n"/>
      <c r="G23" s="14" t="n"/>
      <c r="H23" s="9" t="n"/>
      <c r="I23" s="14" t="n"/>
      <c r="J23" s="9" t="n"/>
      <c r="K23" s="14" t="n"/>
    </row>
    <row r="24">
      <c r="A24" s="14" t="n"/>
      <c r="B24" s="9" t="n"/>
      <c r="C24" s="14" t="n"/>
      <c r="D24" s="4" t="n"/>
      <c r="E24" s="9" t="n"/>
      <c r="F24" s="4" t="n"/>
      <c r="G24" s="14" t="n"/>
      <c r="H24" s="9" t="n"/>
      <c r="I24" s="14" t="n"/>
      <c r="J24" s="9" t="n"/>
      <c r="K24" s="14" t="n"/>
    </row>
    <row r="25">
      <c r="A25" s="14" t="n"/>
      <c r="B25" s="9" t="n"/>
      <c r="C25" s="14" t="n"/>
      <c r="D25" s="4" t="n"/>
      <c r="E25" s="9" t="n"/>
      <c r="F25" s="4" t="n"/>
      <c r="G25" s="14" t="n"/>
      <c r="H25" s="9" t="n"/>
      <c r="I25" s="14" t="n"/>
      <c r="J25" s="9" t="n"/>
      <c r="K25" s="14" t="n"/>
    </row>
    <row r="26">
      <c r="A26" s="14" t="n"/>
      <c r="B26" s="9" t="n"/>
      <c r="C26" s="14" t="n"/>
      <c r="D26" s="4" t="n"/>
      <c r="E26" s="9" t="n"/>
      <c r="F26" s="4" t="n"/>
      <c r="G26" s="14" t="n"/>
      <c r="H26" s="9" t="n"/>
      <c r="I26" s="14" t="n"/>
      <c r="J26" s="9" t="n"/>
      <c r="K26" s="14" t="n"/>
    </row>
    <row r="27">
      <c r="A27" s="14" t="n"/>
      <c r="B27" s="9" t="n"/>
      <c r="C27" s="14" t="n"/>
      <c r="D27" s="4" t="n"/>
      <c r="E27" s="9" t="n"/>
      <c r="F27" s="4" t="n"/>
      <c r="G27" s="14" t="n"/>
      <c r="H27" s="9" t="n"/>
      <c r="I27" s="14" t="n"/>
      <c r="J27" s="9" t="n"/>
      <c r="K27" s="14" t="n"/>
    </row>
    <row r="28">
      <c r="A28" s="14" t="n"/>
      <c r="B28" s="9" t="n"/>
      <c r="C28" s="14" t="n"/>
      <c r="D28" s="4" t="n"/>
      <c r="E28" s="9" t="n"/>
      <c r="F28" s="4" t="n"/>
      <c r="G28" s="14" t="n"/>
      <c r="H28" s="9" t="n"/>
      <c r="I28" s="14" t="n"/>
      <c r="J28" s="9" t="n"/>
      <c r="K28" s="14" t="n"/>
    </row>
    <row r="29">
      <c r="A29" s="14" t="n"/>
      <c r="B29" s="9" t="n"/>
      <c r="C29" s="14" t="n"/>
      <c r="D29" s="4" t="n"/>
      <c r="E29" s="9" t="n"/>
      <c r="F29" s="4" t="n"/>
      <c r="G29" s="14" t="n"/>
      <c r="H29" s="9" t="n"/>
      <c r="I29" s="14" t="n"/>
      <c r="J29" s="9" t="n"/>
      <c r="K29" s="14" t="n"/>
    </row>
    <row r="30">
      <c r="A30" s="14" t="n"/>
      <c r="B30" s="9" t="n"/>
      <c r="C30" s="14" t="n"/>
      <c r="D30" s="4" t="n"/>
      <c r="E30" s="9" t="n"/>
      <c r="F30" s="4" t="n"/>
      <c r="G30" s="14" t="n"/>
      <c r="H30" s="9" t="n"/>
      <c r="I30" s="14" t="n"/>
      <c r="J30" s="9" t="n"/>
      <c r="K30" s="14" t="n"/>
    </row>
    <row r="31">
      <c r="A31" s="14" t="n"/>
      <c r="B31" s="9" t="n"/>
      <c r="C31" s="14" t="n"/>
      <c r="D31" s="4" t="n"/>
      <c r="E31" s="9" t="n"/>
      <c r="F31" s="4" t="n"/>
      <c r="G31" s="14" t="n"/>
      <c r="H31" s="9" t="n"/>
      <c r="I31" s="14" t="n"/>
      <c r="J31" s="9" t="n"/>
      <c r="K31" s="14" t="n"/>
    </row>
    <row r="32">
      <c r="A32" s="14" t="n"/>
      <c r="B32" s="9" t="n"/>
      <c r="C32" s="14" t="n"/>
      <c r="D32" s="4" t="n"/>
      <c r="E32" s="9" t="n"/>
      <c r="F32" s="4" t="n"/>
      <c r="G32" s="14" t="n"/>
      <c r="H32" s="9" t="n"/>
      <c r="I32" s="14" t="n"/>
      <c r="J32" s="9" t="n"/>
      <c r="K32" s="14" t="n"/>
    </row>
    <row r="33">
      <c r="A33" s="14" t="n"/>
      <c r="B33" s="9" t="n"/>
      <c r="C33" s="14" t="n"/>
      <c r="D33" s="4" t="n"/>
      <c r="E33" s="9" t="n"/>
      <c r="F33" s="4" t="n"/>
      <c r="G33" s="14" t="n"/>
      <c r="H33" s="9" t="n"/>
      <c r="I33" s="14" t="n"/>
      <c r="J33" s="9" t="n"/>
      <c r="K33" s="14" t="n"/>
    </row>
    <row r="34">
      <c r="A34" s="14" t="n"/>
      <c r="B34" s="9" t="n"/>
      <c r="C34" s="14" t="n"/>
      <c r="D34" s="4" t="n"/>
      <c r="E34" s="9" t="n"/>
      <c r="F34" s="4" t="n"/>
      <c r="G34" s="14" t="n"/>
      <c r="H34" s="9" t="n"/>
      <c r="I34" s="14" t="n"/>
      <c r="J34" s="9" t="n"/>
      <c r="K34" s="14" t="n"/>
    </row>
    <row r="35">
      <c r="A35" s="14" t="n"/>
      <c r="B35" s="9" t="n"/>
      <c r="C35" s="14" t="n"/>
      <c r="D35" s="4" t="n"/>
      <c r="E35" s="9" t="n"/>
      <c r="F35" s="4" t="n"/>
      <c r="G35" s="14" t="n"/>
      <c r="H35" s="9" t="n"/>
      <c r="I35" s="14" t="n"/>
      <c r="J35" s="9" t="n"/>
      <c r="K35" s="14" t="n"/>
    </row>
    <row r="36">
      <c r="A36" s="14" t="n"/>
      <c r="B36" s="9" t="n"/>
      <c r="C36" s="14" t="n"/>
      <c r="D36" s="4" t="n"/>
      <c r="E36" s="9" t="n"/>
      <c r="F36" s="4" t="n"/>
      <c r="G36" s="14" t="n"/>
      <c r="H36" s="9" t="n"/>
      <c r="I36" s="14" t="n"/>
      <c r="J36" s="9" t="n"/>
      <c r="K36" s="14" t="n"/>
    </row>
    <row r="37">
      <c r="A37" s="14" t="n"/>
      <c r="B37" s="9" t="n"/>
      <c r="C37" s="14" t="n"/>
      <c r="D37" s="4" t="n"/>
      <c r="E37" s="9" t="n"/>
      <c r="F37" s="4" t="n"/>
      <c r="G37" s="14" t="n"/>
      <c r="H37" s="9" t="n"/>
      <c r="I37" s="14" t="n"/>
      <c r="J37" s="9" t="n"/>
      <c r="K37" s="14" t="n"/>
    </row>
    <row r="38">
      <c r="A38" s="14" t="n"/>
      <c r="B38" s="9" t="n"/>
      <c r="C38" s="14" t="n"/>
      <c r="D38" s="4" t="n"/>
      <c r="E38" s="9" t="n"/>
      <c r="F38" s="4" t="n"/>
      <c r="G38" s="14" t="n"/>
      <c r="H38" s="9" t="n"/>
      <c r="I38" s="14" t="n"/>
      <c r="J38" s="9" t="n"/>
      <c r="K38" s="14" t="n"/>
    </row>
    <row r="39">
      <c r="A39" s="14" t="n"/>
      <c r="B39" s="9" t="n"/>
      <c r="C39" s="14" t="n"/>
      <c r="D39" s="4" t="n"/>
      <c r="E39" s="9" t="n"/>
      <c r="F39" s="4" t="n"/>
      <c r="G39" s="14" t="n"/>
      <c r="H39" s="9" t="n"/>
      <c r="I39" s="14" t="n"/>
      <c r="J39" s="9" t="n"/>
      <c r="K39" s="14" t="n"/>
    </row>
    <row r="40">
      <c r="A40" s="14" t="n"/>
      <c r="B40" s="9" t="n"/>
      <c r="C40" s="14" t="n"/>
      <c r="D40" s="4" t="n"/>
      <c r="E40" s="9" t="n"/>
      <c r="F40" s="4" t="n"/>
      <c r="G40" s="14" t="n"/>
      <c r="H40" s="9" t="n"/>
      <c r="I40" s="14" t="n"/>
      <c r="J40" s="9" t="n"/>
      <c r="K40" s="14" t="n"/>
    </row>
    <row r="41">
      <c r="A41" s="14" t="n"/>
      <c r="B41" s="9" t="n"/>
      <c r="C41" s="14" t="n"/>
      <c r="D41" s="4" t="n"/>
      <c r="E41" s="9" t="n"/>
      <c r="F41" s="4" t="n"/>
      <c r="G41" s="14" t="n"/>
      <c r="H41" s="9" t="n"/>
      <c r="I41" s="14" t="n"/>
      <c r="J41" s="9" t="n"/>
      <c r="K41" s="14" t="n"/>
    </row>
    <row r="42">
      <c r="A42" s="14" t="n"/>
      <c r="B42" s="9" t="n"/>
      <c r="C42" s="14" t="n"/>
      <c r="D42" s="4" t="n"/>
      <c r="E42" s="9" t="n"/>
      <c r="F42" s="4" t="n"/>
      <c r="G42" s="14" t="n"/>
      <c r="H42" s="9" t="n"/>
      <c r="I42" s="14" t="n"/>
      <c r="J42" s="9" t="n"/>
      <c r="K42" s="14" t="n"/>
    </row>
    <row r="43">
      <c r="A43" s="14" t="n"/>
      <c r="B43" s="9" t="n"/>
      <c r="C43" s="14" t="n"/>
      <c r="D43" s="4" t="n"/>
      <c r="E43" s="9" t="n"/>
      <c r="F43" s="4" t="n"/>
      <c r="G43" s="14" t="n"/>
      <c r="H43" s="9" t="n"/>
      <c r="I43" s="14" t="n"/>
      <c r="J43" s="9" t="n"/>
      <c r="K43" s="14" t="n"/>
    </row>
    <row r="44">
      <c r="A44" s="14" t="n"/>
      <c r="B44" s="9" t="n"/>
      <c r="C44" s="14" t="n"/>
      <c r="D44" s="4" t="n"/>
      <c r="E44" s="9" t="n"/>
      <c r="F44" s="4" t="n"/>
      <c r="G44" s="14" t="n"/>
      <c r="H44" s="9" t="n"/>
      <c r="I44" s="14" t="n"/>
      <c r="J44" s="9" t="n"/>
      <c r="K44" s="14" t="n"/>
    </row>
    <row r="45">
      <c r="A45" s="14" t="n"/>
      <c r="B45" s="9" t="n"/>
      <c r="C45" s="14" t="n"/>
      <c r="D45" s="4" t="n"/>
      <c r="E45" s="9" t="n"/>
      <c r="F45" s="4" t="n"/>
      <c r="G45" s="14" t="n"/>
      <c r="H45" s="9" t="n"/>
      <c r="I45" s="14" t="n"/>
      <c r="J45" s="9" t="n"/>
      <c r="K45" s="14" t="n"/>
    </row>
    <row r="46">
      <c r="A46" s="14" t="n"/>
      <c r="B46" s="9" t="n"/>
      <c r="C46" s="14" t="n"/>
      <c r="D46" s="4" t="n"/>
      <c r="E46" s="9" t="n"/>
      <c r="F46" s="4" t="n"/>
      <c r="G46" s="14" t="n"/>
      <c r="H46" s="9" t="n"/>
      <c r="I46" s="14" t="n"/>
      <c r="J46" s="9" t="n"/>
      <c r="K46" s="14" t="n"/>
    </row>
    <row r="47">
      <c r="A47" s="14" t="n"/>
      <c r="B47" s="9" t="n"/>
      <c r="C47" s="14" t="n"/>
      <c r="D47" s="4" t="n"/>
      <c r="E47" s="9" t="n"/>
      <c r="F47" s="4" t="n"/>
      <c r="G47" s="14" t="n"/>
      <c r="H47" s="9" t="n"/>
      <c r="I47" s="14" t="n"/>
      <c r="J47" s="9" t="n"/>
      <c r="K47" s="14" t="n"/>
    </row>
    <row r="48">
      <c r="A48" s="14" t="n"/>
      <c r="B48" s="9" t="n"/>
      <c r="C48" s="14" t="n"/>
      <c r="D48" s="4" t="n"/>
      <c r="E48" s="9" t="n"/>
      <c r="F48" s="4" t="n"/>
      <c r="G48" s="14" t="n"/>
      <c r="H48" s="9" t="n"/>
      <c r="I48" s="14" t="n"/>
      <c r="J48" s="9" t="n"/>
      <c r="K48" s="14" t="n"/>
    </row>
    <row r="49">
      <c r="A49" s="14" t="n"/>
      <c r="B49" s="9" t="n"/>
      <c r="C49" s="14" t="n"/>
      <c r="D49" s="4" t="n"/>
      <c r="E49" s="9" t="n"/>
      <c r="F49" s="4" t="n"/>
      <c r="G49" s="14" t="n"/>
      <c r="H49" s="9" t="n"/>
      <c r="I49" s="14" t="n"/>
      <c r="J49" s="9" t="n"/>
      <c r="K49" s="14" t="n"/>
    </row>
    <row r="50">
      <c r="A50" s="14" t="n"/>
      <c r="B50" s="9" t="n"/>
      <c r="C50" s="14" t="n"/>
      <c r="D50" s="4" t="n"/>
      <c r="E50" s="9" t="n"/>
      <c r="F50" s="4" t="n"/>
      <c r="G50" s="14" t="n"/>
      <c r="H50" s="9" t="n"/>
      <c r="I50" s="14" t="n"/>
      <c r="J50" s="9" t="n"/>
      <c r="K50" s="14" t="n"/>
    </row>
    <row r="51">
      <c r="A51" s="14" t="n"/>
      <c r="B51" s="9" t="n"/>
      <c r="C51" s="14" t="n"/>
      <c r="D51" s="4" t="n"/>
      <c r="E51" s="9" t="n"/>
      <c r="F51" s="4" t="n"/>
      <c r="G51" s="14" t="n"/>
      <c r="H51" s="9" t="n"/>
      <c r="I51" s="14" t="n"/>
      <c r="J51" s="9" t="n"/>
      <c r="K51" s="14" t="n"/>
    </row>
    <row r="52">
      <c r="A52" s="14" t="n"/>
      <c r="B52" s="9" t="n"/>
      <c r="C52" s="14" t="n"/>
      <c r="D52" s="4" t="n"/>
      <c r="E52" s="9" t="n"/>
      <c r="F52" s="4" t="n"/>
      <c r="G52" s="14" t="n"/>
      <c r="H52" s="9" t="n"/>
      <c r="I52" s="14" t="n"/>
      <c r="J52" s="9" t="n"/>
      <c r="K52" s="14" t="n"/>
    </row>
    <row r="53">
      <c r="A53" s="14" t="n"/>
      <c r="B53" s="9" t="n"/>
      <c r="C53" s="14" t="n"/>
      <c r="D53" s="4" t="n"/>
      <c r="E53" s="9" t="n"/>
      <c r="F53" s="4" t="n"/>
      <c r="G53" s="14" t="n"/>
      <c r="H53" s="9" t="n"/>
      <c r="I53" s="14" t="n"/>
      <c r="J53" s="9" t="n"/>
      <c r="K53" s="14" t="n"/>
    </row>
    <row r="54">
      <c r="A54" s="14" t="n"/>
      <c r="B54" s="9" t="n"/>
      <c r="C54" s="14" t="n"/>
      <c r="D54" s="4" t="n"/>
      <c r="E54" s="9" t="n"/>
      <c r="F54" s="4" t="n"/>
      <c r="G54" s="14" t="n"/>
      <c r="H54" s="9" t="n"/>
      <c r="I54" s="14" t="n"/>
      <c r="J54" s="9" t="n"/>
      <c r="K54" s="14" t="n"/>
    </row>
    <row r="55">
      <c r="A55" s="14" t="n"/>
      <c r="B55" s="9" t="n"/>
      <c r="C55" s="14" t="n"/>
      <c r="D55" s="4" t="n"/>
      <c r="E55" s="9" t="n"/>
      <c r="F55" s="4" t="n"/>
      <c r="G55" s="14" t="n"/>
      <c r="H55" s="9" t="n"/>
      <c r="I55" s="14" t="n"/>
      <c r="J55" s="9" t="n"/>
      <c r="K55" s="14" t="n"/>
    </row>
    <row r="56">
      <c r="A56" s="14" t="n"/>
      <c r="B56" s="9" t="n"/>
      <c r="C56" s="14" t="n"/>
      <c r="D56" s="4" t="n"/>
      <c r="E56" s="9" t="n"/>
      <c r="F56" s="4" t="n"/>
      <c r="G56" s="14" t="n"/>
      <c r="H56" s="9" t="n"/>
      <c r="I56" s="14" t="n"/>
      <c r="J56" s="9" t="n"/>
      <c r="K56" s="14" t="n"/>
    </row>
    <row r="57">
      <c r="A57" s="14" t="n"/>
      <c r="B57" s="9" t="n"/>
      <c r="C57" s="14" t="n"/>
      <c r="D57" s="4" t="n"/>
      <c r="E57" s="9" t="n"/>
      <c r="F57" s="4" t="n"/>
      <c r="G57" s="14" t="n"/>
      <c r="H57" s="9" t="n"/>
      <c r="I57" s="14" t="n"/>
      <c r="J57" s="9" t="n"/>
      <c r="K57" s="14" t="n"/>
    </row>
    <row r="58">
      <c r="A58" s="14" t="n"/>
      <c r="B58" s="9" t="n"/>
      <c r="C58" s="14" t="n"/>
      <c r="D58" s="4" t="n"/>
      <c r="E58" s="9" t="n"/>
      <c r="F58" s="4" t="n"/>
      <c r="G58" s="14" t="n"/>
      <c r="H58" s="9" t="n"/>
      <c r="I58" s="14" t="n"/>
      <c r="J58" s="9" t="n"/>
      <c r="K58" s="14" t="n"/>
    </row>
    <row r="59">
      <c r="A59" s="14" t="n"/>
      <c r="B59" s="9" t="n"/>
      <c r="C59" s="14" t="n"/>
      <c r="D59" s="4" t="n"/>
      <c r="E59" s="9" t="n"/>
      <c r="F59" s="4" t="n"/>
      <c r="G59" s="14" t="n"/>
      <c r="H59" s="9" t="n"/>
      <c r="I59" s="14" t="n"/>
      <c r="J59" s="9" t="n"/>
      <c r="K59" s="14" t="n"/>
    </row>
    <row r="60">
      <c r="A60" s="14" t="n"/>
      <c r="B60" s="9" t="n"/>
      <c r="C60" s="14" t="n"/>
      <c r="D60" s="4" t="n"/>
      <c r="E60" s="9" t="n"/>
      <c r="F60" s="4" t="n"/>
      <c r="G60" s="14" t="n"/>
      <c r="H60" s="9" t="n"/>
      <c r="I60" s="14" t="n"/>
      <c r="J60" s="9" t="n"/>
      <c r="K60" s="14" t="n"/>
    </row>
    <row r="61">
      <c r="A61" s="14" t="n"/>
      <c r="B61" s="9" t="n"/>
      <c r="C61" s="14" t="n"/>
      <c r="D61" s="4" t="n"/>
      <c r="E61" s="9" t="n"/>
      <c r="F61" s="4" t="n"/>
      <c r="G61" s="14" t="n"/>
      <c r="H61" s="9" t="n"/>
      <c r="I61" s="14" t="n"/>
      <c r="J61" s="9" t="n"/>
      <c r="K61" s="14" t="n"/>
    </row>
    <row r="62">
      <c r="A62" s="14" t="n"/>
      <c r="B62" s="9" t="n"/>
      <c r="C62" s="14" t="n"/>
      <c r="D62" s="4" t="n"/>
      <c r="E62" s="9" t="n"/>
      <c r="F62" s="4" t="n"/>
      <c r="G62" s="14" t="n"/>
      <c r="H62" s="9" t="n"/>
      <c r="I62" s="14" t="n"/>
      <c r="J62" s="9" t="n"/>
      <c r="K62" s="14" t="n"/>
    </row>
    <row r="63">
      <c r="A63" s="14" t="n"/>
      <c r="B63" s="9" t="n"/>
      <c r="C63" s="14" t="n"/>
      <c r="D63" s="4" t="n"/>
      <c r="E63" s="9" t="n"/>
      <c r="F63" s="4" t="n"/>
      <c r="G63" s="14" t="n"/>
      <c r="H63" s="9" t="n"/>
      <c r="I63" s="14" t="n"/>
      <c r="J63" s="9" t="n"/>
      <c r="K63" s="14" t="n"/>
    </row>
    <row r="64">
      <c r="A64" s="14" t="n"/>
      <c r="B64" s="9" t="n"/>
      <c r="C64" s="14" t="n"/>
      <c r="D64" s="4" t="n"/>
      <c r="E64" s="9" t="n"/>
      <c r="F64" s="4" t="n"/>
      <c r="G64" s="14" t="n"/>
      <c r="H64" s="9" t="n"/>
      <c r="I64" s="14" t="n"/>
      <c r="J64" s="9" t="n"/>
      <c r="K64" s="14" t="n"/>
    </row>
    <row r="65">
      <c r="A65" s="14" t="n"/>
      <c r="B65" s="9" t="n"/>
      <c r="C65" s="14" t="n"/>
      <c r="D65" s="4" t="n"/>
      <c r="E65" s="9" t="n"/>
      <c r="F65" s="4" t="n"/>
      <c r="G65" s="14" t="n"/>
      <c r="H65" s="9" t="n"/>
      <c r="I65" s="14" t="n"/>
      <c r="J65" s="9" t="n"/>
      <c r="K65" s="14" t="n"/>
    </row>
    <row r="66">
      <c r="A66" s="14" t="n"/>
      <c r="B66" s="9" t="n"/>
      <c r="C66" s="14" t="n"/>
      <c r="D66" s="4" t="n"/>
      <c r="E66" s="9" t="n"/>
      <c r="F66" s="4" t="n"/>
      <c r="G66" s="14" t="n"/>
      <c r="H66" s="9" t="n"/>
      <c r="I66" s="14" t="n"/>
      <c r="J66" s="9" t="n"/>
      <c r="K66" s="14" t="n"/>
    </row>
    <row r="67">
      <c r="A67" s="14" t="n"/>
      <c r="B67" s="9" t="n"/>
      <c r="C67" s="14" t="n"/>
      <c r="D67" s="4" t="n"/>
      <c r="E67" s="9" t="n"/>
      <c r="F67" s="4" t="n"/>
      <c r="G67" s="14" t="n"/>
      <c r="H67" s="9" t="n"/>
      <c r="I67" s="14" t="n"/>
      <c r="J67" s="9" t="n"/>
      <c r="K67" s="14" t="n"/>
    </row>
    <row r="68">
      <c r="A68" s="14" t="n"/>
      <c r="B68" s="9" t="n"/>
      <c r="C68" s="14" t="n"/>
      <c r="D68" s="4" t="n"/>
      <c r="E68" s="9" t="n"/>
      <c r="F68" s="4" t="n"/>
      <c r="G68" s="14" t="n"/>
      <c r="H68" s="9" t="n"/>
      <c r="I68" s="14" t="n"/>
      <c r="J68" s="9" t="n"/>
      <c r="K68" s="14" t="n"/>
    </row>
    <row r="69">
      <c r="A69" s="14" t="n"/>
      <c r="B69" s="9" t="n"/>
      <c r="C69" s="14" t="n"/>
      <c r="D69" s="4" t="n"/>
      <c r="E69" s="9" t="n"/>
      <c r="F69" s="4" t="n"/>
      <c r="G69" s="14" t="n"/>
      <c r="H69" s="9" t="n"/>
      <c r="I69" s="14" t="n"/>
      <c r="J69" s="9" t="n"/>
      <c r="K69" s="14" t="n"/>
    </row>
    <row r="70">
      <c r="A70" s="14" t="n"/>
      <c r="B70" s="9" t="n"/>
      <c r="C70" s="14" t="n"/>
      <c r="D70" s="4" t="n"/>
      <c r="E70" s="9" t="n"/>
      <c r="F70" s="4" t="n"/>
      <c r="G70" s="14" t="n"/>
      <c r="H70" s="9" t="n"/>
      <c r="I70" s="14" t="n"/>
      <c r="J70" s="9" t="n"/>
      <c r="K70" s="14" t="n"/>
    </row>
    <row r="71">
      <c r="A71" s="14" t="n"/>
      <c r="B71" s="9" t="n"/>
      <c r="C71" s="14" t="n"/>
      <c r="D71" s="4" t="n"/>
      <c r="E71" s="9" t="n"/>
      <c r="F71" s="4" t="n"/>
      <c r="G71" s="14" t="n"/>
      <c r="H71" s="9" t="n"/>
      <c r="I71" s="14" t="n"/>
      <c r="J71" s="9" t="n"/>
      <c r="K71" s="14" t="n"/>
    </row>
    <row r="72">
      <c r="A72" s="14" t="n"/>
      <c r="B72" s="9" t="n"/>
      <c r="C72" s="14" t="n"/>
      <c r="D72" s="4" t="n"/>
      <c r="E72" s="9" t="n"/>
      <c r="F72" s="4" t="n"/>
      <c r="G72" s="14" t="n"/>
      <c r="H72" s="9" t="n"/>
      <c r="I72" s="14" t="n"/>
      <c r="J72" s="9" t="n"/>
      <c r="K72" s="14" t="n"/>
    </row>
    <row r="73">
      <c r="A73" s="14" t="n"/>
      <c r="B73" s="9" t="n"/>
      <c r="C73" s="14" t="n"/>
      <c r="D73" s="4" t="n"/>
      <c r="E73" s="9" t="n"/>
      <c r="F73" s="4" t="n"/>
      <c r="G73" s="14" t="n"/>
      <c r="H73" s="9" t="n"/>
      <c r="I73" s="14" t="n"/>
      <c r="J73" s="9" t="n"/>
      <c r="K73" s="14" t="n"/>
    </row>
    <row r="74">
      <c r="A74" s="14" t="n"/>
      <c r="B74" s="9" t="n"/>
      <c r="C74" s="14" t="n"/>
      <c r="D74" s="4" t="n"/>
      <c r="E74" s="9" t="n"/>
      <c r="F74" s="4" t="n"/>
      <c r="G74" s="14" t="n"/>
      <c r="H74" s="9" t="n"/>
      <c r="I74" s="14" t="n"/>
      <c r="J74" s="9" t="n"/>
      <c r="K74" s="14" t="n"/>
    </row>
    <row r="75">
      <c r="A75" s="14" t="n"/>
      <c r="B75" s="9" t="n"/>
      <c r="C75" s="14" t="n"/>
      <c r="D75" s="4" t="n"/>
      <c r="E75" s="9" t="n"/>
      <c r="F75" s="4" t="n"/>
      <c r="G75" s="14" t="n"/>
      <c r="H75" s="9" t="n"/>
      <c r="I75" s="14" t="n"/>
      <c r="J75" s="9" t="n"/>
      <c r="K75" s="14" t="n"/>
    </row>
    <row r="76">
      <c r="A76" s="14" t="n"/>
      <c r="B76" s="9" t="n"/>
      <c r="C76" s="14" t="n"/>
      <c r="D76" s="4" t="n"/>
      <c r="E76" s="9" t="n"/>
      <c r="F76" s="4" t="n"/>
      <c r="G76" s="14" t="n"/>
      <c r="H76" s="9" t="n"/>
      <c r="I76" s="14" t="n"/>
      <c r="J76" s="9" t="n"/>
      <c r="K76" s="14" t="n"/>
    </row>
    <row r="77">
      <c r="A77" s="14" t="n"/>
      <c r="B77" s="9" t="n"/>
      <c r="C77" s="14" t="n"/>
      <c r="D77" s="4" t="n"/>
      <c r="E77" s="9" t="n"/>
      <c r="F77" s="4" t="n"/>
      <c r="G77" s="14" t="n"/>
      <c r="H77" s="9" t="n"/>
      <c r="I77" s="14" t="n"/>
      <c r="J77" s="9" t="n"/>
      <c r="K77" s="14" t="n"/>
    </row>
    <row r="78">
      <c r="A78" s="14" t="n"/>
      <c r="B78" s="9" t="n"/>
      <c r="C78" s="14" t="n"/>
      <c r="D78" s="4" t="n"/>
      <c r="E78" s="9" t="n"/>
      <c r="F78" s="4" t="n"/>
      <c r="G78" s="14" t="n"/>
      <c r="H78" s="9" t="n"/>
      <c r="I78" s="14" t="n"/>
      <c r="J78" s="9" t="n"/>
      <c r="K78" s="14" t="n"/>
    </row>
    <row r="79">
      <c r="A79" s="14" t="n"/>
      <c r="B79" s="9" t="n"/>
      <c r="C79" s="14" t="n"/>
      <c r="D79" s="4" t="n"/>
      <c r="E79" s="9" t="n"/>
      <c r="F79" s="4" t="n"/>
      <c r="G79" s="14" t="n"/>
      <c r="H79" s="9" t="n"/>
      <c r="I79" s="14" t="n"/>
      <c r="J79" s="9" t="n"/>
      <c r="K79" s="14" t="n"/>
    </row>
    <row r="80">
      <c r="A80" s="14" t="n"/>
      <c r="B80" s="9" t="n"/>
      <c r="C80" s="14" t="n"/>
      <c r="D80" s="4" t="n"/>
      <c r="E80" s="9" t="n"/>
      <c r="F80" s="4" t="n"/>
      <c r="G80" s="14" t="n"/>
      <c r="H80" s="9" t="n"/>
      <c r="I80" s="14" t="n"/>
      <c r="J80" s="9" t="n"/>
      <c r="K80" s="14" t="n"/>
    </row>
    <row r="81">
      <c r="A81" s="14" t="n"/>
      <c r="B81" s="9" t="n"/>
      <c r="C81" s="14" t="n"/>
      <c r="D81" s="4" t="n"/>
      <c r="E81" s="9" t="n"/>
      <c r="F81" s="4" t="n"/>
      <c r="G81" s="14" t="n"/>
      <c r="H81" s="9" t="n"/>
      <c r="I81" s="14" t="n"/>
      <c r="J81" s="9" t="n"/>
      <c r="K81" s="14" t="n"/>
    </row>
    <row r="82">
      <c r="A82" s="14" t="n"/>
      <c r="B82" s="9" t="n"/>
      <c r="C82" s="14" t="n"/>
      <c r="D82" s="4" t="n"/>
      <c r="E82" s="9" t="n"/>
      <c r="F82" s="4" t="n"/>
      <c r="G82" s="14" t="n"/>
      <c r="H82" s="9" t="n"/>
      <c r="I82" s="14" t="n"/>
      <c r="J82" s="9" t="n"/>
      <c r="K82" s="14" t="n"/>
    </row>
    <row r="83">
      <c r="A83" s="14" t="n"/>
      <c r="B83" s="9" t="n"/>
      <c r="C83" s="14" t="n"/>
      <c r="D83" s="4" t="n"/>
      <c r="E83" s="9" t="n"/>
      <c r="F83" s="4" t="n"/>
      <c r="G83" s="14" t="n"/>
      <c r="H83" s="9" t="n"/>
      <c r="I83" s="14" t="n"/>
      <c r="J83" s="9" t="n"/>
      <c r="K83" s="14" t="n"/>
    </row>
    <row r="84">
      <c r="A84" s="14" t="n"/>
      <c r="B84" s="9" t="n"/>
      <c r="C84" s="14" t="n"/>
      <c r="D84" s="4" t="n"/>
      <c r="E84" s="9" t="n"/>
      <c r="F84" s="4" t="n"/>
      <c r="G84" s="14" t="n"/>
      <c r="H84" s="9" t="n"/>
      <c r="I84" s="14" t="n"/>
      <c r="J84" s="9" t="n"/>
      <c r="K84" s="14" t="n"/>
    </row>
    <row r="85">
      <c r="A85" s="14" t="n"/>
      <c r="B85" s="9" t="n"/>
      <c r="C85" s="14" t="n"/>
      <c r="D85" s="4" t="n"/>
      <c r="E85" s="9" t="n"/>
      <c r="F85" s="4" t="n"/>
      <c r="G85" s="14" t="n"/>
      <c r="H85" s="9" t="n"/>
      <c r="I85" s="14" t="n"/>
      <c r="J85" s="9" t="n"/>
      <c r="K85" s="14" t="n"/>
    </row>
    <row r="86">
      <c r="A86" s="14" t="n"/>
      <c r="B86" s="9" t="n"/>
      <c r="C86" s="14" t="n"/>
      <c r="D86" s="4" t="n"/>
      <c r="E86" s="9" t="n"/>
      <c r="F86" s="4" t="n"/>
      <c r="G86" s="14" t="n"/>
      <c r="H86" s="9" t="n"/>
      <c r="I86" s="14" t="n"/>
      <c r="J86" s="9" t="n"/>
      <c r="K86" s="14" t="n"/>
    </row>
    <row r="87">
      <c r="A87" s="14" t="n"/>
      <c r="B87" s="9" t="n"/>
      <c r="C87" s="14" t="n"/>
      <c r="D87" s="4" t="n"/>
      <c r="E87" s="9" t="n"/>
      <c r="F87" s="4" t="n"/>
      <c r="G87" s="14" t="n"/>
      <c r="H87" s="9" t="n"/>
      <c r="I87" s="14" t="n"/>
      <c r="J87" s="9" t="n"/>
      <c r="K87" s="14" t="n"/>
    </row>
    <row r="88">
      <c r="A88" s="14" t="n"/>
      <c r="B88" s="9" t="n"/>
      <c r="C88" s="14" t="n"/>
      <c r="D88" s="4" t="n"/>
      <c r="E88" s="9" t="n"/>
      <c r="F88" s="4" t="n"/>
      <c r="G88" s="14" t="n"/>
      <c r="H88" s="9" t="n"/>
      <c r="I88" s="14" t="n"/>
      <c r="J88" s="9" t="n"/>
      <c r="K88" s="14" t="n"/>
    </row>
    <row r="89">
      <c r="A89" s="14" t="n"/>
      <c r="B89" s="9" t="n"/>
      <c r="C89" s="14" t="n"/>
      <c r="D89" s="4" t="n"/>
      <c r="E89" s="9" t="n"/>
      <c r="F89" s="4" t="n"/>
      <c r="G89" s="14" t="n"/>
      <c r="H89" s="9" t="n"/>
      <c r="I89" s="14" t="n"/>
      <c r="J89" s="9" t="n"/>
      <c r="K89" s="14" t="n"/>
    </row>
    <row r="90">
      <c r="A90" s="14" t="n"/>
      <c r="B90" s="9" t="n"/>
      <c r="C90" s="14" t="n"/>
      <c r="D90" s="4" t="n"/>
      <c r="E90" s="9" t="n"/>
      <c r="F90" s="4" t="n"/>
      <c r="G90" s="14" t="n"/>
      <c r="H90" s="9" t="n"/>
      <c r="I90" s="14" t="n"/>
      <c r="J90" s="9" t="n"/>
      <c r="K90" s="14" t="n"/>
    </row>
    <row r="91">
      <c r="A91" s="14" t="n"/>
      <c r="B91" s="9" t="n"/>
      <c r="C91" s="14" t="n"/>
      <c r="D91" s="4" t="n"/>
      <c r="E91" s="9" t="n"/>
      <c r="F91" s="4" t="n"/>
      <c r="G91" s="14" t="n"/>
      <c r="H91" s="9" t="n"/>
      <c r="I91" s="14" t="n"/>
      <c r="J91" s="9" t="n"/>
      <c r="K91" s="14" t="n"/>
    </row>
    <row r="92">
      <c r="A92" s="14" t="n"/>
      <c r="B92" s="9" t="n"/>
      <c r="C92" s="14" t="n"/>
      <c r="D92" s="4" t="n"/>
      <c r="E92" s="9" t="n"/>
      <c r="F92" s="4" t="n"/>
      <c r="G92" s="14" t="n"/>
      <c r="H92" s="9" t="n"/>
      <c r="I92" s="14" t="n"/>
      <c r="J92" s="9" t="n"/>
      <c r="K92" s="14" t="n"/>
    </row>
    <row r="93">
      <c r="A93" s="14" t="n"/>
      <c r="B93" s="9" t="n"/>
      <c r="C93" s="14" t="n"/>
      <c r="D93" s="4" t="n"/>
      <c r="E93" s="9" t="n"/>
      <c r="F93" s="4" t="n"/>
      <c r="G93" s="14" t="n"/>
      <c r="H93" s="9" t="n"/>
      <c r="I93" s="14" t="n"/>
      <c r="J93" s="9" t="n"/>
      <c r="K93" s="14" t="n"/>
    </row>
    <row r="94">
      <c r="A94" s="14" t="n"/>
      <c r="B94" s="9" t="n"/>
      <c r="C94" s="14" t="n"/>
      <c r="D94" s="4" t="n"/>
      <c r="E94" s="9" t="n"/>
      <c r="F94" s="4" t="n"/>
      <c r="G94" s="14" t="n"/>
      <c r="H94" s="9" t="n"/>
      <c r="I94" s="14" t="n"/>
      <c r="J94" s="9" t="n"/>
      <c r="K94" s="14" t="n"/>
    </row>
    <row r="95">
      <c r="A95" s="14" t="n"/>
      <c r="B95" s="9" t="n"/>
      <c r="C95" s="14" t="n"/>
      <c r="D95" s="4" t="n"/>
      <c r="E95" s="9" t="n"/>
      <c r="F95" s="4" t="n"/>
      <c r="G95" s="14" t="n"/>
      <c r="H95" s="9" t="n"/>
      <c r="I95" s="14" t="n"/>
      <c r="J95" s="9" t="n"/>
      <c r="K95" s="14" t="n"/>
    </row>
    <row r="96">
      <c r="A96" s="14" t="n"/>
      <c r="B96" s="9" t="n"/>
      <c r="C96" s="14" t="n"/>
      <c r="D96" s="4" t="n"/>
      <c r="E96" s="9" t="n"/>
      <c r="F96" s="4" t="n"/>
      <c r="G96" s="14" t="n"/>
      <c r="H96" s="9" t="n"/>
      <c r="I96" s="14" t="n"/>
      <c r="J96" s="9" t="n"/>
      <c r="K96" s="14" t="n"/>
    </row>
    <row r="97">
      <c r="A97" s="14" t="n"/>
      <c r="B97" s="9" t="n"/>
      <c r="C97" s="14" t="n"/>
      <c r="D97" s="4" t="n"/>
      <c r="E97" s="9" t="n"/>
      <c r="F97" s="4" t="n"/>
      <c r="G97" s="14" t="n"/>
      <c r="H97" s="9" t="n"/>
      <c r="I97" s="14" t="n"/>
      <c r="J97" s="9" t="n"/>
      <c r="K97" s="14" t="n"/>
    </row>
    <row r="98">
      <c r="A98" s="14" t="n"/>
      <c r="B98" s="9" t="n"/>
      <c r="C98" s="14" t="n"/>
      <c r="D98" s="4" t="n"/>
      <c r="E98" s="9" t="n"/>
      <c r="F98" s="4" t="n"/>
      <c r="G98" s="14" t="n"/>
      <c r="H98" s="9" t="n"/>
      <c r="I98" s="14" t="n"/>
      <c r="J98" s="9" t="n"/>
      <c r="K98" s="14" t="n"/>
    </row>
    <row r="99">
      <c r="A99" s="14" t="n"/>
      <c r="B99" s="9" t="n"/>
      <c r="C99" s="14" t="n"/>
      <c r="D99" s="4" t="n"/>
      <c r="E99" s="9" t="n"/>
      <c r="F99" s="4" t="n"/>
      <c r="G99" s="14" t="n"/>
      <c r="H99" s="9" t="n"/>
      <c r="I99" s="14" t="n"/>
      <c r="J99" s="9" t="n"/>
      <c r="K99" s="14" t="n"/>
    </row>
    <row r="100">
      <c r="A100" s="14" t="n"/>
      <c r="B100" s="9" t="n"/>
      <c r="C100" s="14" t="n"/>
      <c r="D100" s="4" t="n"/>
      <c r="E100" s="9" t="n"/>
      <c r="F100" s="4" t="n"/>
      <c r="G100" s="14" t="n"/>
      <c r="H100" s="9" t="n"/>
      <c r="I100" s="14" t="n"/>
      <c r="J100" s="9" t="n"/>
      <c r="K100" s="14" t="n"/>
    </row>
    <row r="101">
      <c r="A101" s="14" t="n"/>
      <c r="B101" s="9" t="n"/>
      <c r="C101" s="14" t="n"/>
      <c r="D101" s="4" t="n"/>
      <c r="E101" s="9" t="n"/>
      <c r="F101" s="4" t="n"/>
      <c r="G101" s="14" t="n"/>
      <c r="H101" s="9" t="n"/>
      <c r="I101" s="14" t="n"/>
      <c r="J101" s="9" t="n"/>
      <c r="K101" s="14" t="n"/>
    </row>
    <row r="102">
      <c r="A102" s="14" t="n"/>
      <c r="B102" s="9" t="n"/>
      <c r="C102" s="14" t="n"/>
      <c r="D102" s="4" t="n"/>
      <c r="E102" s="9" t="n"/>
      <c r="F102" s="4" t="n"/>
      <c r="G102" s="14" t="n"/>
      <c r="H102" s="9" t="n"/>
      <c r="I102" s="14" t="n"/>
      <c r="J102" s="9" t="n"/>
      <c r="K102" s="14" t="n"/>
    </row>
    <row r="103">
      <c r="A103" s="14" t="n"/>
      <c r="B103" s="9" t="n"/>
      <c r="C103" s="14" t="n"/>
      <c r="D103" s="4" t="n"/>
      <c r="E103" s="9" t="n"/>
      <c r="F103" s="4" t="n"/>
      <c r="G103" s="14" t="n"/>
      <c r="H103" s="9" t="n"/>
      <c r="I103" s="14" t="n"/>
      <c r="J103" s="9" t="n"/>
      <c r="K103" s="14" t="n"/>
    </row>
    <row r="104">
      <c r="A104" s="14" t="n"/>
      <c r="B104" s="9" t="n"/>
      <c r="C104" s="14" t="n"/>
      <c r="D104" s="4" t="n"/>
      <c r="E104" s="9" t="n"/>
      <c r="F104" s="4" t="n"/>
      <c r="G104" s="14" t="n"/>
      <c r="H104" s="9" t="n"/>
      <c r="I104" s="14" t="n"/>
      <c r="J104" s="9" t="n"/>
      <c r="K104" s="14" t="n"/>
    </row>
  </sheetData>
  <mergeCells count="2">
    <mergeCell ref="A2:K2"/>
    <mergeCell ref="A1:K1"/>
  </mergeCells>
  <dataValidations count="6">
    <dataValidation sqref="B5:B104 E5:E104 H5:H104 J5:J104" showDropDown="0" showInputMessage="0" showErrorMessage="0" allowBlank="0" type="date">
      <formula1>DATE(1900,1,1)</formula1>
      <formula2>DATE(2100,12,31)</formula2>
    </dataValidation>
    <dataValidation sqref="C5:C104" showDropDown="0" showInputMessage="0" showErrorMessage="0" allowBlank="1" type="list">
      <formula1>"Not yet assessable,PSA response,Stable disease,Biochemical recurrence,Radiological progression,Clinical progression"</formula1>
    </dataValidation>
    <dataValidation sqref="D5:D104 F5:F104" showDropDown="0" showInputMessage="0" showErrorMessage="0" allowBlank="0" type="decimal">
      <formula1>0</formula1>
      <formula2>10000</formula2>
    </dataValidation>
    <dataValidation sqref="G5:G104" showDropDown="0" showInputMessage="0" showErrorMessage="0" allowBlank="1" type="list">
      <formula1>"Not assessed,No recurrence documented,Biochemical recurrence"</formula1>
    </dataValidation>
    <dataValidation sqref="I5:I104" showDropDown="0" showInputMessage="0" showErrorMessage="0" allowBlank="1" type="list">
      <formula1>"No CRPC progression documented,Progressed to CRPC,Suspected progression - workup pending"</formula1>
    </dataValidation>
    <dataValidation sqref="K5:K104" showDropDown="0" showInputMessage="0" showErrorMessage="0" allowBlank="1" type="list">
      <formula1>"Not yet assessed,Complete biochemical response,Partial biochemical response,Stable disease,Biochemical recurrence,Progressive disease"</formula1>
    </dataValidation>
  </dataValidation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154"/>
  <sheetViews>
    <sheetView showGridLines="0" zoomScale="80" zoomScaleNormal="80" workbookViewId="0">
      <selection activeCell="A1" sqref="A1:F1"/>
    </sheetView>
  </sheetViews>
  <sheetFormatPr baseColWidth="8" defaultColWidth="8.875" defaultRowHeight="14.25"/>
  <cols>
    <col width="18" customWidth="1" min="1" max="1"/>
    <col width="14" customWidth="1" min="2" max="3"/>
    <col width="12" customWidth="1" min="4" max="4"/>
    <col width="14" customWidth="1" min="5" max="5"/>
    <col width="40" customWidth="1" min="6" max="6"/>
  </cols>
  <sheetData>
    <row r="1" ht="15.75" customHeight="1">
      <c r="A1" s="12" t="inlineStr">
        <is>
          <t>PSA History</t>
        </is>
      </c>
    </row>
    <row r="2">
      <c r="A2" s="13" t="inlineStr">
        <is>
          <t>Repeating log: add one row per PSA entry for each unique patient code.</t>
        </is>
      </c>
    </row>
    <row r="4" ht="30" customHeight="1">
      <c r="A4" s="2" t="inlineStr">
        <is>
          <t>Unique Patient Code *</t>
        </is>
      </c>
      <c r="B4" s="2" t="inlineStr">
        <is>
          <t>Date *</t>
        </is>
      </c>
      <c r="C4" s="2" t="inlineStr">
        <is>
          <t>PSA (ng/mL)</t>
        </is>
      </c>
      <c r="D4" s="2" t="inlineStr">
        <is>
          <t>Free PSA %</t>
        </is>
      </c>
      <c r="E4" s="2" t="inlineStr">
        <is>
          <t>PSA Density</t>
        </is>
      </c>
      <c r="F4" s="2" t="inlineStr">
        <is>
          <t>Context / Remarks</t>
        </is>
      </c>
    </row>
    <row r="5">
      <c r="A5" s="14" t="inlineStr">
        <is>
          <t>PCR-001</t>
        </is>
      </c>
      <c r="B5" s="9" t="n">
        <v>45976</v>
      </c>
      <c r="C5" s="4" t="n">
        <v>42.6</v>
      </c>
      <c r="D5" s="4" t="n">
        <v>9</v>
      </c>
      <c r="E5" s="4" t="n">
        <v>0.88</v>
      </c>
      <c r="F5" s="14" t="inlineStr">
        <is>
          <t>Diagnostic PSA prior to biopsy workup.</t>
        </is>
      </c>
    </row>
    <row r="6">
      <c r="A6" s="14" t="inlineStr">
        <is>
          <t>PCR-001</t>
        </is>
      </c>
      <c r="B6" s="9" t="n">
        <v>46032</v>
      </c>
      <c r="C6" s="4" t="n">
        <v>37.4</v>
      </c>
      <c r="D6" s="4" t="n">
        <v>10</v>
      </c>
      <c r="E6" s="4" t="n">
        <v>0.78</v>
      </c>
      <c r="F6" s="14" t="inlineStr">
        <is>
          <t>Pre-ADT repeat value.</t>
        </is>
      </c>
    </row>
    <row r="7">
      <c r="A7" s="14" t="inlineStr">
        <is>
          <t>PCR-001</t>
        </is>
      </c>
      <c r="B7" s="9" t="n">
        <v>46058</v>
      </c>
      <c r="C7" s="4" t="n">
        <v>18.2</v>
      </c>
      <c r="D7" s="4" t="n">
        <v>12</v>
      </c>
      <c r="E7" s="4" t="n">
        <v>0.42</v>
      </c>
      <c r="F7" s="14" t="inlineStr">
        <is>
          <t>Early response after ADT initiation.</t>
        </is>
      </c>
    </row>
    <row r="8">
      <c r="A8" s="14" t="inlineStr">
        <is>
          <t>PCR-002</t>
        </is>
      </c>
      <c r="B8" s="9" t="n">
        <v>45894</v>
      </c>
      <c r="C8" s="4" t="n">
        <v>96.40000000000001</v>
      </c>
      <c r="D8" s="4" t="n">
        <v>8</v>
      </c>
      <c r="E8" s="4" t="n">
        <v>1.75</v>
      </c>
      <c r="F8" s="14" t="inlineStr">
        <is>
          <t>Diagnostic PSA with metastatic presentation.</t>
        </is>
      </c>
    </row>
    <row r="9">
      <c r="A9" s="14" t="inlineStr">
        <is>
          <t>PCR-002</t>
        </is>
      </c>
      <c r="B9" s="9" t="n">
        <v>45945</v>
      </c>
      <c r="C9" s="4" t="n">
        <v>21.8</v>
      </c>
      <c r="D9" s="4" t="n">
        <v>11</v>
      </c>
      <c r="E9" s="4" t="n">
        <v>0.4</v>
      </c>
      <c r="F9" s="14" t="inlineStr">
        <is>
          <t>Post-ADT and ARSI response check.</t>
        </is>
      </c>
    </row>
    <row r="10">
      <c r="A10" s="14" t="inlineStr">
        <is>
          <t>PCR-002</t>
        </is>
      </c>
      <c r="B10" s="9" t="n">
        <v>46127</v>
      </c>
      <c r="C10" s="4" t="n">
        <v>0.8</v>
      </c>
      <c r="D10" s="4" t="n">
        <v>15</v>
      </c>
      <c r="E10" s="4" t="n">
        <v>0.02</v>
      </c>
      <c r="F10" s="14" t="inlineStr">
        <is>
          <t>PSA nadir.</t>
        </is>
      </c>
    </row>
    <row r="11">
      <c r="A11" s="14" t="inlineStr">
        <is>
          <t>PCR-002</t>
        </is>
      </c>
      <c r="B11" s="9" t="n">
        <v>46193</v>
      </c>
      <c r="C11" s="4" t="n">
        <v>1.1</v>
      </c>
      <c r="D11" s="4" t="n">
        <v>14</v>
      </c>
      <c r="E11" s="4" t="n">
        <v>0.03</v>
      </c>
      <c r="F11" s="14" t="inlineStr">
        <is>
          <t>Stable follow-up value.</t>
        </is>
      </c>
    </row>
    <row r="12">
      <c r="A12" s="14" t="inlineStr">
        <is>
          <t>PCR-003</t>
        </is>
      </c>
      <c r="B12" s="9" t="n">
        <v>45910</v>
      </c>
      <c r="C12" s="4" t="n">
        <v>28.1</v>
      </c>
      <c r="D12" s="4" t="n">
        <v>10</v>
      </c>
      <c r="E12" s="4" t="n">
        <v>0.67</v>
      </c>
      <c r="F12" s="14" t="inlineStr">
        <is>
          <t>Diagnostic PSA.</t>
        </is>
      </c>
    </row>
    <row r="13">
      <c r="A13" s="14" t="inlineStr">
        <is>
          <t>PCR-003</t>
        </is>
      </c>
      <c r="B13" s="9" t="n">
        <v>45992</v>
      </c>
      <c r="C13" s="4" t="n">
        <v>4.6</v>
      </c>
      <c r="D13" s="4" t="n">
        <v>13</v>
      </c>
      <c r="E13" s="4" t="n">
        <v>0.11</v>
      </c>
      <c r="F13" s="14" t="inlineStr">
        <is>
          <t>Post-RT early check.</t>
        </is>
      </c>
    </row>
    <row r="14">
      <c r="A14" s="14" t="inlineStr">
        <is>
          <t>PCR-003</t>
        </is>
      </c>
      <c r="B14" s="9" t="n">
        <v>46101</v>
      </c>
      <c r="C14" s="4" t="n">
        <v>0.3</v>
      </c>
      <c r="D14" s="4" t="n">
        <v>18</v>
      </c>
      <c r="E14" s="4" t="n">
        <v>0.01</v>
      </c>
      <c r="F14" s="14" t="inlineStr">
        <is>
          <t>PSA nadir.</t>
        </is>
      </c>
    </row>
    <row r="15">
      <c r="A15" s="14" t="inlineStr">
        <is>
          <t>PCR-003</t>
        </is>
      </c>
      <c r="B15" s="9" t="n">
        <v>46191</v>
      </c>
      <c r="C15" s="4" t="n">
        <v>0.5</v>
      </c>
      <c r="D15" s="4" t="n">
        <v>17</v>
      </c>
      <c r="E15" s="4" t="n">
        <v>0.01</v>
      </c>
      <c r="F15" s="14" t="inlineStr">
        <is>
          <t>Stable post-RT follow-up.</t>
        </is>
      </c>
    </row>
    <row r="16">
      <c r="A16" s="14" t="inlineStr">
        <is>
          <t>PCR-004</t>
        </is>
      </c>
      <c r="B16" s="9" t="n">
        <v>45087</v>
      </c>
      <c r="C16" s="4" t="n">
        <v>54.3</v>
      </c>
      <c r="D16" s="4" t="n">
        <v>7</v>
      </c>
      <c r="E16" s="4" t="n">
        <v>0.89</v>
      </c>
      <c r="F16" s="14" t="inlineStr">
        <is>
          <t>Baseline metastatic presentation.</t>
        </is>
      </c>
    </row>
    <row r="17">
      <c r="A17" s="14" t="inlineStr">
        <is>
          <t>PCR-004</t>
        </is>
      </c>
      <c r="B17" s="9" t="n">
        <v>45337</v>
      </c>
      <c r="C17" s="4" t="n">
        <v>3.4</v>
      </c>
      <c r="D17" s="4" t="n">
        <v>12</v>
      </c>
      <c r="E17" s="4" t="n">
        <v>0.06</v>
      </c>
      <c r="F17" s="14" t="inlineStr">
        <is>
          <t>Best biochemical response.</t>
        </is>
      </c>
    </row>
    <row r="18">
      <c r="A18" s="14" t="inlineStr">
        <is>
          <t>PCR-004</t>
        </is>
      </c>
      <c r="B18" s="9" t="n">
        <v>46001</v>
      </c>
      <c r="C18" s="4" t="n">
        <v>12.7</v>
      </c>
      <c r="D18" s="4" t="n">
        <v>9</v>
      </c>
      <c r="E18" s="4" t="n">
        <v>0.21</v>
      </c>
      <c r="F18" s="14" t="inlineStr">
        <is>
          <t>Progression to CRPC.</t>
        </is>
      </c>
    </row>
    <row r="19">
      <c r="A19" s="14" t="inlineStr">
        <is>
          <t>PCR-004</t>
        </is>
      </c>
      <c r="B19" s="9" t="n">
        <v>46201</v>
      </c>
      <c r="C19" s="4" t="n">
        <v>24.5</v>
      </c>
      <c r="D19" s="4" t="n">
        <v>8</v>
      </c>
      <c r="E19" s="4" t="n">
        <v>0.4</v>
      </c>
      <c r="F19" s="14" t="inlineStr">
        <is>
          <t>Latest progression review.</t>
        </is>
      </c>
    </row>
    <row r="20">
      <c r="A20" s="14" t="n"/>
      <c r="B20" s="9" t="n"/>
      <c r="C20" s="4" t="n"/>
      <c r="D20" s="4" t="n"/>
      <c r="E20" s="4" t="n"/>
      <c r="F20" s="14" t="n"/>
    </row>
    <row r="21">
      <c r="A21" s="14" t="n"/>
      <c r="B21" s="9" t="n"/>
      <c r="C21" s="4" t="n"/>
      <c r="D21" s="4" t="n"/>
      <c r="E21" s="4" t="n"/>
      <c r="F21" s="14" t="n"/>
    </row>
    <row r="22">
      <c r="A22" s="14" t="n"/>
      <c r="B22" s="9" t="n"/>
      <c r="C22" s="4" t="n"/>
      <c r="D22" s="4" t="n"/>
      <c r="E22" s="4" t="n"/>
      <c r="F22" s="14" t="n"/>
    </row>
    <row r="23">
      <c r="A23" s="14" t="n"/>
      <c r="B23" s="9" t="n"/>
      <c r="C23" s="4" t="n"/>
      <c r="D23" s="4" t="n"/>
      <c r="E23" s="4" t="n"/>
      <c r="F23" s="14" t="n"/>
    </row>
    <row r="24">
      <c r="A24" s="14" t="n"/>
      <c r="B24" s="9" t="n"/>
      <c r="C24" s="4" t="n"/>
      <c r="D24" s="4" t="n"/>
      <c r="E24" s="4" t="n"/>
      <c r="F24" s="14" t="n"/>
    </row>
    <row r="25">
      <c r="A25" s="14" t="n"/>
      <c r="B25" s="9" t="n"/>
      <c r="C25" s="4" t="n"/>
      <c r="D25" s="4" t="n"/>
      <c r="E25" s="4" t="n"/>
      <c r="F25" s="14" t="n"/>
    </row>
    <row r="26">
      <c r="A26" s="14" t="n"/>
      <c r="B26" s="9" t="n"/>
      <c r="C26" s="4" t="n"/>
      <c r="D26" s="4" t="n"/>
      <c r="E26" s="4" t="n"/>
      <c r="F26" s="14" t="n"/>
    </row>
    <row r="27">
      <c r="A27" s="14" t="n"/>
      <c r="B27" s="9" t="n"/>
      <c r="C27" s="4" t="n"/>
      <c r="D27" s="4" t="n"/>
      <c r="E27" s="4" t="n"/>
      <c r="F27" s="14" t="n"/>
    </row>
    <row r="28">
      <c r="A28" s="14" t="n"/>
      <c r="B28" s="9" t="n"/>
      <c r="C28" s="4" t="n"/>
      <c r="D28" s="4" t="n"/>
      <c r="E28" s="4" t="n"/>
      <c r="F28" s="14" t="n"/>
    </row>
    <row r="29">
      <c r="A29" s="14" t="n"/>
      <c r="B29" s="9" t="n"/>
      <c r="C29" s="4" t="n"/>
      <c r="D29" s="4" t="n"/>
      <c r="E29" s="4" t="n"/>
      <c r="F29" s="14" t="n"/>
    </row>
    <row r="30">
      <c r="A30" s="14" t="n"/>
      <c r="B30" s="9" t="n"/>
      <c r="C30" s="4" t="n"/>
      <c r="D30" s="4" t="n"/>
      <c r="E30" s="4" t="n"/>
      <c r="F30" s="14" t="n"/>
    </row>
    <row r="31">
      <c r="A31" s="14" t="n"/>
      <c r="B31" s="9" t="n"/>
      <c r="C31" s="4" t="n"/>
      <c r="D31" s="4" t="n"/>
      <c r="E31" s="4" t="n"/>
      <c r="F31" s="14" t="n"/>
    </row>
    <row r="32">
      <c r="A32" s="14" t="n"/>
      <c r="B32" s="9" t="n"/>
      <c r="C32" s="4" t="n"/>
      <c r="D32" s="4" t="n"/>
      <c r="E32" s="4" t="n"/>
      <c r="F32" s="14" t="n"/>
    </row>
    <row r="33">
      <c r="A33" s="14" t="n"/>
      <c r="B33" s="9" t="n"/>
      <c r="C33" s="4" t="n"/>
      <c r="D33" s="4" t="n"/>
      <c r="E33" s="4" t="n"/>
      <c r="F33" s="14" t="n"/>
    </row>
    <row r="34">
      <c r="A34" s="14" t="n"/>
      <c r="B34" s="9" t="n"/>
      <c r="C34" s="4" t="n"/>
      <c r="D34" s="4" t="n"/>
      <c r="E34" s="4" t="n"/>
      <c r="F34" s="14" t="n"/>
    </row>
    <row r="35">
      <c r="A35" s="14" t="n"/>
      <c r="B35" s="9" t="n"/>
      <c r="C35" s="4" t="n"/>
      <c r="D35" s="4" t="n"/>
      <c r="E35" s="4" t="n"/>
      <c r="F35" s="14" t="n"/>
    </row>
    <row r="36">
      <c r="A36" s="14" t="n"/>
      <c r="B36" s="9" t="n"/>
      <c r="C36" s="4" t="n"/>
      <c r="D36" s="4" t="n"/>
      <c r="E36" s="4" t="n"/>
      <c r="F36" s="14" t="n"/>
    </row>
    <row r="37">
      <c r="A37" s="14" t="n"/>
      <c r="B37" s="9" t="n"/>
      <c r="C37" s="4" t="n"/>
      <c r="D37" s="4" t="n"/>
      <c r="E37" s="4" t="n"/>
      <c r="F37" s="14" t="n"/>
    </row>
    <row r="38">
      <c r="A38" s="14" t="n"/>
      <c r="B38" s="9" t="n"/>
      <c r="C38" s="4" t="n"/>
      <c r="D38" s="4" t="n"/>
      <c r="E38" s="4" t="n"/>
      <c r="F38" s="14" t="n"/>
    </row>
    <row r="39">
      <c r="A39" s="14" t="n"/>
      <c r="B39" s="9" t="n"/>
      <c r="C39" s="4" t="n"/>
      <c r="D39" s="4" t="n"/>
      <c r="E39" s="4" t="n"/>
      <c r="F39" s="14" t="n"/>
    </row>
    <row r="40">
      <c r="A40" s="14" t="n"/>
      <c r="B40" s="9" t="n"/>
      <c r="C40" s="4" t="n"/>
      <c r="D40" s="4" t="n"/>
      <c r="E40" s="4" t="n"/>
      <c r="F40" s="14" t="n"/>
    </row>
    <row r="41">
      <c r="A41" s="14" t="n"/>
      <c r="B41" s="9" t="n"/>
      <c r="C41" s="4" t="n"/>
      <c r="D41" s="4" t="n"/>
      <c r="E41" s="4" t="n"/>
      <c r="F41" s="14" t="n"/>
    </row>
    <row r="42">
      <c r="A42" s="14" t="n"/>
      <c r="B42" s="9" t="n"/>
      <c r="C42" s="4" t="n"/>
      <c r="D42" s="4" t="n"/>
      <c r="E42" s="4" t="n"/>
      <c r="F42" s="14" t="n"/>
    </row>
    <row r="43">
      <c r="A43" s="14" t="n"/>
      <c r="B43" s="9" t="n"/>
      <c r="C43" s="4" t="n"/>
      <c r="D43" s="4" t="n"/>
      <c r="E43" s="4" t="n"/>
      <c r="F43" s="14" t="n"/>
    </row>
    <row r="44">
      <c r="A44" s="14" t="n"/>
      <c r="B44" s="9" t="n"/>
      <c r="C44" s="4" t="n"/>
      <c r="D44" s="4" t="n"/>
      <c r="E44" s="4" t="n"/>
      <c r="F44" s="14" t="n"/>
    </row>
    <row r="45">
      <c r="A45" s="14" t="n"/>
      <c r="B45" s="9" t="n"/>
      <c r="C45" s="4" t="n"/>
      <c r="D45" s="4" t="n"/>
      <c r="E45" s="4" t="n"/>
      <c r="F45" s="14" t="n"/>
    </row>
    <row r="46">
      <c r="A46" s="14" t="n"/>
      <c r="B46" s="9" t="n"/>
      <c r="C46" s="4" t="n"/>
      <c r="D46" s="4" t="n"/>
      <c r="E46" s="4" t="n"/>
      <c r="F46" s="14" t="n"/>
    </row>
    <row r="47">
      <c r="A47" s="14" t="n"/>
      <c r="B47" s="9" t="n"/>
      <c r="C47" s="4" t="n"/>
      <c r="D47" s="4" t="n"/>
      <c r="E47" s="4" t="n"/>
      <c r="F47" s="14" t="n"/>
    </row>
    <row r="48">
      <c r="A48" s="14" t="n"/>
      <c r="B48" s="9" t="n"/>
      <c r="C48" s="4" t="n"/>
      <c r="D48" s="4" t="n"/>
      <c r="E48" s="4" t="n"/>
      <c r="F48" s="14" t="n"/>
    </row>
    <row r="49">
      <c r="A49" s="14" t="n"/>
      <c r="B49" s="9" t="n"/>
      <c r="C49" s="4" t="n"/>
      <c r="D49" s="4" t="n"/>
      <c r="E49" s="4" t="n"/>
      <c r="F49" s="14" t="n"/>
    </row>
    <row r="50">
      <c r="A50" s="14" t="n"/>
      <c r="B50" s="9" t="n"/>
      <c r="C50" s="4" t="n"/>
      <c r="D50" s="4" t="n"/>
      <c r="E50" s="4" t="n"/>
      <c r="F50" s="14" t="n"/>
    </row>
    <row r="51">
      <c r="A51" s="14" t="n"/>
      <c r="B51" s="9" t="n"/>
      <c r="C51" s="4" t="n"/>
      <c r="D51" s="4" t="n"/>
      <c r="E51" s="4" t="n"/>
      <c r="F51" s="14" t="n"/>
    </row>
    <row r="52">
      <c r="A52" s="14" t="n"/>
      <c r="B52" s="9" t="n"/>
      <c r="C52" s="4" t="n"/>
      <c r="D52" s="4" t="n"/>
      <c r="E52" s="4" t="n"/>
      <c r="F52" s="14" t="n"/>
    </row>
    <row r="53">
      <c r="A53" s="14" t="n"/>
      <c r="B53" s="9" t="n"/>
      <c r="C53" s="4" t="n"/>
      <c r="D53" s="4" t="n"/>
      <c r="E53" s="4" t="n"/>
      <c r="F53" s="14" t="n"/>
    </row>
    <row r="54">
      <c r="A54" s="14" t="n"/>
      <c r="B54" s="9" t="n"/>
      <c r="C54" s="4" t="n"/>
      <c r="D54" s="4" t="n"/>
      <c r="E54" s="4" t="n"/>
      <c r="F54" s="14" t="n"/>
    </row>
    <row r="55">
      <c r="A55" s="14" t="n"/>
      <c r="B55" s="9" t="n"/>
      <c r="C55" s="4" t="n"/>
      <c r="D55" s="4" t="n"/>
      <c r="E55" s="4" t="n"/>
      <c r="F55" s="14" t="n"/>
    </row>
    <row r="56">
      <c r="A56" s="14" t="n"/>
      <c r="B56" s="9" t="n"/>
      <c r="C56" s="4" t="n"/>
      <c r="D56" s="4" t="n"/>
      <c r="E56" s="4" t="n"/>
      <c r="F56" s="14" t="n"/>
    </row>
    <row r="57">
      <c r="A57" s="14" t="n"/>
      <c r="B57" s="9" t="n"/>
      <c r="C57" s="4" t="n"/>
      <c r="D57" s="4" t="n"/>
      <c r="E57" s="4" t="n"/>
      <c r="F57" s="14" t="n"/>
    </row>
    <row r="58">
      <c r="A58" s="14" t="n"/>
      <c r="B58" s="9" t="n"/>
      <c r="C58" s="4" t="n"/>
      <c r="D58" s="4" t="n"/>
      <c r="E58" s="4" t="n"/>
      <c r="F58" s="14" t="n"/>
    </row>
    <row r="59">
      <c r="A59" s="14" t="n"/>
      <c r="B59" s="9" t="n"/>
      <c r="C59" s="4" t="n"/>
      <c r="D59" s="4" t="n"/>
      <c r="E59" s="4" t="n"/>
      <c r="F59" s="14" t="n"/>
    </row>
    <row r="60">
      <c r="A60" s="14" t="n"/>
      <c r="B60" s="9" t="n"/>
      <c r="C60" s="4" t="n"/>
      <c r="D60" s="4" t="n"/>
      <c r="E60" s="4" t="n"/>
      <c r="F60" s="14" t="n"/>
    </row>
    <row r="61">
      <c r="A61" s="14" t="n"/>
      <c r="B61" s="9" t="n"/>
      <c r="C61" s="4" t="n"/>
      <c r="D61" s="4" t="n"/>
      <c r="E61" s="4" t="n"/>
      <c r="F61" s="14" t="n"/>
    </row>
    <row r="62">
      <c r="A62" s="14" t="n"/>
      <c r="B62" s="9" t="n"/>
      <c r="C62" s="4" t="n"/>
      <c r="D62" s="4" t="n"/>
      <c r="E62" s="4" t="n"/>
      <c r="F62" s="14" t="n"/>
    </row>
    <row r="63">
      <c r="A63" s="14" t="n"/>
      <c r="B63" s="9" t="n"/>
      <c r="C63" s="4" t="n"/>
      <c r="D63" s="4" t="n"/>
      <c r="E63" s="4" t="n"/>
      <c r="F63" s="14" t="n"/>
    </row>
    <row r="64">
      <c r="A64" s="14" t="n"/>
      <c r="B64" s="9" t="n"/>
      <c r="C64" s="4" t="n"/>
      <c r="D64" s="4" t="n"/>
      <c r="E64" s="4" t="n"/>
      <c r="F64" s="14" t="n"/>
    </row>
    <row r="65">
      <c r="A65" s="14" t="n"/>
      <c r="B65" s="9" t="n"/>
      <c r="C65" s="4" t="n"/>
      <c r="D65" s="4" t="n"/>
      <c r="E65" s="4" t="n"/>
      <c r="F65" s="14" t="n"/>
    </row>
    <row r="66">
      <c r="A66" s="14" t="n"/>
      <c r="B66" s="9" t="n"/>
      <c r="C66" s="4" t="n"/>
      <c r="D66" s="4" t="n"/>
      <c r="E66" s="4" t="n"/>
      <c r="F66" s="14" t="n"/>
    </row>
    <row r="67">
      <c r="A67" s="14" t="n"/>
      <c r="B67" s="9" t="n"/>
      <c r="C67" s="4" t="n"/>
      <c r="D67" s="4" t="n"/>
      <c r="E67" s="4" t="n"/>
      <c r="F67" s="14" t="n"/>
    </row>
    <row r="68">
      <c r="A68" s="14" t="n"/>
      <c r="B68" s="9" t="n"/>
      <c r="C68" s="4" t="n"/>
      <c r="D68" s="4" t="n"/>
      <c r="E68" s="4" t="n"/>
      <c r="F68" s="14" t="n"/>
    </row>
    <row r="69">
      <c r="A69" s="14" t="n"/>
      <c r="B69" s="9" t="n"/>
      <c r="C69" s="4" t="n"/>
      <c r="D69" s="4" t="n"/>
      <c r="E69" s="4" t="n"/>
      <c r="F69" s="14" t="n"/>
    </row>
    <row r="70">
      <c r="A70" s="14" t="n"/>
      <c r="B70" s="9" t="n"/>
      <c r="C70" s="4" t="n"/>
      <c r="D70" s="4" t="n"/>
      <c r="E70" s="4" t="n"/>
      <c r="F70" s="14" t="n"/>
    </row>
    <row r="71">
      <c r="A71" s="14" t="n"/>
      <c r="B71" s="9" t="n"/>
      <c r="C71" s="4" t="n"/>
      <c r="D71" s="4" t="n"/>
      <c r="E71" s="4" t="n"/>
      <c r="F71" s="14" t="n"/>
    </row>
    <row r="72">
      <c r="A72" s="14" t="n"/>
      <c r="B72" s="9" t="n"/>
      <c r="C72" s="4" t="n"/>
      <c r="D72" s="4" t="n"/>
      <c r="E72" s="4" t="n"/>
      <c r="F72" s="14" t="n"/>
    </row>
    <row r="73">
      <c r="A73" s="14" t="n"/>
      <c r="B73" s="9" t="n"/>
      <c r="C73" s="4" t="n"/>
      <c r="D73" s="4" t="n"/>
      <c r="E73" s="4" t="n"/>
      <c r="F73" s="14" t="n"/>
    </row>
    <row r="74">
      <c r="A74" s="14" t="n"/>
      <c r="B74" s="9" t="n"/>
      <c r="C74" s="4" t="n"/>
      <c r="D74" s="4" t="n"/>
      <c r="E74" s="4" t="n"/>
      <c r="F74" s="14" t="n"/>
    </row>
    <row r="75">
      <c r="A75" s="14" t="n"/>
      <c r="B75" s="9" t="n"/>
      <c r="C75" s="4" t="n"/>
      <c r="D75" s="4" t="n"/>
      <c r="E75" s="4" t="n"/>
      <c r="F75" s="14" t="n"/>
    </row>
    <row r="76">
      <c r="A76" s="14" t="n"/>
      <c r="B76" s="9" t="n"/>
      <c r="C76" s="4" t="n"/>
      <c r="D76" s="4" t="n"/>
      <c r="E76" s="4" t="n"/>
      <c r="F76" s="14" t="n"/>
    </row>
    <row r="77">
      <c r="A77" s="14" t="n"/>
      <c r="B77" s="9" t="n"/>
      <c r="C77" s="4" t="n"/>
      <c r="D77" s="4" t="n"/>
      <c r="E77" s="4" t="n"/>
      <c r="F77" s="14" t="n"/>
    </row>
    <row r="78">
      <c r="A78" s="14" t="n"/>
      <c r="B78" s="9" t="n"/>
      <c r="C78" s="4" t="n"/>
      <c r="D78" s="4" t="n"/>
      <c r="E78" s="4" t="n"/>
      <c r="F78" s="14" t="n"/>
    </row>
    <row r="79">
      <c r="A79" s="14" t="n"/>
      <c r="B79" s="9" t="n"/>
      <c r="C79" s="4" t="n"/>
      <c r="D79" s="4" t="n"/>
      <c r="E79" s="4" t="n"/>
      <c r="F79" s="14" t="n"/>
    </row>
    <row r="80">
      <c r="A80" s="14" t="n"/>
      <c r="B80" s="9" t="n"/>
      <c r="C80" s="4" t="n"/>
      <c r="D80" s="4" t="n"/>
      <c r="E80" s="4" t="n"/>
      <c r="F80" s="14" t="n"/>
    </row>
    <row r="81">
      <c r="A81" s="14" t="n"/>
      <c r="B81" s="9" t="n"/>
      <c r="C81" s="4" t="n"/>
      <c r="D81" s="4" t="n"/>
      <c r="E81" s="4" t="n"/>
      <c r="F81" s="14" t="n"/>
    </row>
    <row r="82">
      <c r="A82" s="14" t="n"/>
      <c r="B82" s="9" t="n"/>
      <c r="C82" s="4" t="n"/>
      <c r="D82" s="4" t="n"/>
      <c r="E82" s="4" t="n"/>
      <c r="F82" s="14" t="n"/>
    </row>
    <row r="83">
      <c r="A83" s="14" t="n"/>
      <c r="B83" s="9" t="n"/>
      <c r="C83" s="4" t="n"/>
      <c r="D83" s="4" t="n"/>
      <c r="E83" s="4" t="n"/>
      <c r="F83" s="14" t="n"/>
    </row>
    <row r="84">
      <c r="A84" s="14" t="n"/>
      <c r="B84" s="9" t="n"/>
      <c r="C84" s="4" t="n"/>
      <c r="D84" s="4" t="n"/>
      <c r="E84" s="4" t="n"/>
      <c r="F84" s="14" t="n"/>
    </row>
    <row r="85">
      <c r="A85" s="14" t="n"/>
      <c r="B85" s="9" t="n"/>
      <c r="C85" s="4" t="n"/>
      <c r="D85" s="4" t="n"/>
      <c r="E85" s="4" t="n"/>
      <c r="F85" s="14" t="n"/>
    </row>
    <row r="86">
      <c r="A86" s="14" t="n"/>
      <c r="B86" s="9" t="n"/>
      <c r="C86" s="4" t="n"/>
      <c r="D86" s="4" t="n"/>
      <c r="E86" s="4" t="n"/>
      <c r="F86" s="14" t="n"/>
    </row>
    <row r="87">
      <c r="A87" s="14" t="n"/>
      <c r="B87" s="9" t="n"/>
      <c r="C87" s="4" t="n"/>
      <c r="D87" s="4" t="n"/>
      <c r="E87" s="4" t="n"/>
      <c r="F87" s="14" t="n"/>
    </row>
    <row r="88">
      <c r="A88" s="14" t="n"/>
      <c r="B88" s="9" t="n"/>
      <c r="C88" s="4" t="n"/>
      <c r="D88" s="4" t="n"/>
      <c r="E88" s="4" t="n"/>
      <c r="F88" s="14" t="n"/>
    </row>
    <row r="89">
      <c r="A89" s="14" t="n"/>
      <c r="B89" s="9" t="n"/>
      <c r="C89" s="4" t="n"/>
      <c r="D89" s="4" t="n"/>
      <c r="E89" s="4" t="n"/>
      <c r="F89" s="14" t="n"/>
    </row>
    <row r="90">
      <c r="A90" s="14" t="n"/>
      <c r="B90" s="9" t="n"/>
      <c r="C90" s="4" t="n"/>
      <c r="D90" s="4" t="n"/>
      <c r="E90" s="4" t="n"/>
      <c r="F90" s="14" t="n"/>
    </row>
    <row r="91">
      <c r="A91" s="14" t="n"/>
      <c r="B91" s="9" t="n"/>
      <c r="C91" s="4" t="n"/>
      <c r="D91" s="4" t="n"/>
      <c r="E91" s="4" t="n"/>
      <c r="F91" s="14" t="n"/>
    </row>
    <row r="92">
      <c r="A92" s="14" t="n"/>
      <c r="B92" s="9" t="n"/>
      <c r="C92" s="4" t="n"/>
      <c r="D92" s="4" t="n"/>
      <c r="E92" s="4" t="n"/>
      <c r="F92" s="14" t="n"/>
    </row>
    <row r="93">
      <c r="A93" s="14" t="n"/>
      <c r="B93" s="9" t="n"/>
      <c r="C93" s="4" t="n"/>
      <c r="D93" s="4" t="n"/>
      <c r="E93" s="4" t="n"/>
      <c r="F93" s="14" t="n"/>
    </row>
    <row r="94">
      <c r="A94" s="14" t="n"/>
      <c r="B94" s="9" t="n"/>
      <c r="C94" s="4" t="n"/>
      <c r="D94" s="4" t="n"/>
      <c r="E94" s="4" t="n"/>
      <c r="F94" s="14" t="n"/>
    </row>
    <row r="95">
      <c r="A95" s="14" t="n"/>
      <c r="B95" s="9" t="n"/>
      <c r="C95" s="4" t="n"/>
      <c r="D95" s="4" t="n"/>
      <c r="E95" s="4" t="n"/>
      <c r="F95" s="14" t="n"/>
    </row>
    <row r="96">
      <c r="A96" s="14" t="n"/>
      <c r="B96" s="9" t="n"/>
      <c r="C96" s="4" t="n"/>
      <c r="D96" s="4" t="n"/>
      <c r="E96" s="4" t="n"/>
      <c r="F96" s="14" t="n"/>
    </row>
    <row r="97">
      <c r="A97" s="14" t="n"/>
      <c r="B97" s="9" t="n"/>
      <c r="C97" s="4" t="n"/>
      <c r="D97" s="4" t="n"/>
      <c r="E97" s="4" t="n"/>
      <c r="F97" s="14" t="n"/>
    </row>
    <row r="98">
      <c r="A98" s="14" t="n"/>
      <c r="B98" s="9" t="n"/>
      <c r="C98" s="4" t="n"/>
      <c r="D98" s="4" t="n"/>
      <c r="E98" s="4" t="n"/>
      <c r="F98" s="14" t="n"/>
    </row>
    <row r="99">
      <c r="A99" s="14" t="n"/>
      <c r="B99" s="9" t="n"/>
      <c r="C99" s="4" t="n"/>
      <c r="D99" s="4" t="n"/>
      <c r="E99" s="4" t="n"/>
      <c r="F99" s="14" t="n"/>
    </row>
    <row r="100">
      <c r="A100" s="14" t="n"/>
      <c r="B100" s="9" t="n"/>
      <c r="C100" s="4" t="n"/>
      <c r="D100" s="4" t="n"/>
      <c r="E100" s="4" t="n"/>
      <c r="F100" s="14" t="n"/>
    </row>
    <row r="101">
      <c r="A101" s="14" t="n"/>
      <c r="B101" s="9" t="n"/>
      <c r="C101" s="4" t="n"/>
      <c r="D101" s="4" t="n"/>
      <c r="E101" s="4" t="n"/>
      <c r="F101" s="14" t="n"/>
    </row>
    <row r="102">
      <c r="A102" s="14" t="n"/>
      <c r="B102" s="9" t="n"/>
      <c r="C102" s="4" t="n"/>
      <c r="D102" s="4" t="n"/>
      <c r="E102" s="4" t="n"/>
      <c r="F102" s="14" t="n"/>
    </row>
    <row r="103">
      <c r="A103" s="14" t="n"/>
      <c r="B103" s="9" t="n"/>
      <c r="C103" s="4" t="n"/>
      <c r="D103" s="4" t="n"/>
      <c r="E103" s="4" t="n"/>
      <c r="F103" s="14" t="n"/>
    </row>
    <row r="104">
      <c r="A104" s="14" t="n"/>
      <c r="B104" s="9" t="n"/>
      <c r="C104" s="4" t="n"/>
      <c r="D104" s="4" t="n"/>
      <c r="E104" s="4" t="n"/>
      <c r="F104" s="14" t="n"/>
    </row>
    <row r="105">
      <c r="A105" s="14" t="n"/>
      <c r="B105" s="9" t="n"/>
      <c r="C105" s="4" t="n"/>
      <c r="D105" s="4" t="n"/>
      <c r="E105" s="4" t="n"/>
      <c r="F105" s="14" t="n"/>
    </row>
    <row r="106">
      <c r="A106" s="14" t="n"/>
      <c r="B106" s="9" t="n"/>
      <c r="C106" s="4" t="n"/>
      <c r="D106" s="4" t="n"/>
      <c r="E106" s="4" t="n"/>
      <c r="F106" s="14" t="n"/>
    </row>
    <row r="107">
      <c r="A107" s="14" t="n"/>
      <c r="B107" s="9" t="n"/>
      <c r="C107" s="4" t="n"/>
      <c r="D107" s="4" t="n"/>
      <c r="E107" s="4" t="n"/>
      <c r="F107" s="14" t="n"/>
    </row>
    <row r="108">
      <c r="A108" s="14" t="n"/>
      <c r="B108" s="9" t="n"/>
      <c r="C108" s="4" t="n"/>
      <c r="D108" s="4" t="n"/>
      <c r="E108" s="4" t="n"/>
      <c r="F108" s="14" t="n"/>
    </row>
    <row r="109">
      <c r="A109" s="14" t="n"/>
      <c r="B109" s="9" t="n"/>
      <c r="C109" s="4" t="n"/>
      <c r="D109" s="4" t="n"/>
      <c r="E109" s="4" t="n"/>
      <c r="F109" s="14" t="n"/>
    </row>
    <row r="110">
      <c r="A110" s="14" t="n"/>
      <c r="B110" s="9" t="n"/>
      <c r="C110" s="4" t="n"/>
      <c r="D110" s="4" t="n"/>
      <c r="E110" s="4" t="n"/>
      <c r="F110" s="14" t="n"/>
    </row>
    <row r="111">
      <c r="A111" s="14" t="n"/>
      <c r="B111" s="9" t="n"/>
      <c r="C111" s="4" t="n"/>
      <c r="D111" s="4" t="n"/>
      <c r="E111" s="4" t="n"/>
      <c r="F111" s="14" t="n"/>
    </row>
    <row r="112">
      <c r="A112" s="14" t="n"/>
      <c r="B112" s="9" t="n"/>
      <c r="C112" s="4" t="n"/>
      <c r="D112" s="4" t="n"/>
      <c r="E112" s="4" t="n"/>
      <c r="F112" s="14" t="n"/>
    </row>
    <row r="113">
      <c r="A113" s="14" t="n"/>
      <c r="B113" s="9" t="n"/>
      <c r="C113" s="4" t="n"/>
      <c r="D113" s="4" t="n"/>
      <c r="E113" s="4" t="n"/>
      <c r="F113" s="14" t="n"/>
    </row>
    <row r="114">
      <c r="A114" s="14" t="n"/>
      <c r="B114" s="9" t="n"/>
      <c r="C114" s="4" t="n"/>
      <c r="D114" s="4" t="n"/>
      <c r="E114" s="4" t="n"/>
      <c r="F114" s="14" t="n"/>
    </row>
    <row r="115">
      <c r="A115" s="14" t="n"/>
      <c r="B115" s="9" t="n"/>
      <c r="C115" s="4" t="n"/>
      <c r="D115" s="4" t="n"/>
      <c r="E115" s="4" t="n"/>
      <c r="F115" s="14" t="n"/>
    </row>
    <row r="116">
      <c r="A116" s="14" t="n"/>
      <c r="B116" s="9" t="n"/>
      <c r="C116" s="4" t="n"/>
      <c r="D116" s="4" t="n"/>
      <c r="E116" s="4" t="n"/>
      <c r="F116" s="14" t="n"/>
    </row>
    <row r="117">
      <c r="A117" s="14" t="n"/>
      <c r="B117" s="9" t="n"/>
      <c r="C117" s="4" t="n"/>
      <c r="D117" s="4" t="n"/>
      <c r="E117" s="4" t="n"/>
      <c r="F117" s="14" t="n"/>
    </row>
    <row r="118">
      <c r="A118" s="14" t="n"/>
      <c r="B118" s="9" t="n"/>
      <c r="C118" s="4" t="n"/>
      <c r="D118" s="4" t="n"/>
      <c r="E118" s="4" t="n"/>
      <c r="F118" s="14" t="n"/>
    </row>
    <row r="119">
      <c r="A119" s="14" t="n"/>
      <c r="B119" s="9" t="n"/>
      <c r="C119" s="4" t="n"/>
      <c r="D119" s="4" t="n"/>
      <c r="E119" s="4" t="n"/>
      <c r="F119" s="14" t="n"/>
    </row>
    <row r="120">
      <c r="A120" s="14" t="n"/>
      <c r="B120" s="9" t="n"/>
      <c r="C120" s="4" t="n"/>
      <c r="D120" s="4" t="n"/>
      <c r="E120" s="4" t="n"/>
      <c r="F120" s="14" t="n"/>
    </row>
    <row r="121">
      <c r="A121" s="14" t="n"/>
      <c r="B121" s="9" t="n"/>
      <c r="C121" s="4" t="n"/>
      <c r="D121" s="4" t="n"/>
      <c r="E121" s="4" t="n"/>
      <c r="F121" s="14" t="n"/>
    </row>
    <row r="122">
      <c r="A122" s="14" t="n"/>
      <c r="B122" s="9" t="n"/>
      <c r="C122" s="4" t="n"/>
      <c r="D122" s="4" t="n"/>
      <c r="E122" s="4" t="n"/>
      <c r="F122" s="14" t="n"/>
    </row>
    <row r="123">
      <c r="A123" s="14" t="n"/>
      <c r="B123" s="9" t="n"/>
      <c r="C123" s="4" t="n"/>
      <c r="D123" s="4" t="n"/>
      <c r="E123" s="4" t="n"/>
      <c r="F123" s="14" t="n"/>
    </row>
    <row r="124">
      <c r="A124" s="14" t="n"/>
      <c r="B124" s="9" t="n"/>
      <c r="C124" s="4" t="n"/>
      <c r="D124" s="4" t="n"/>
      <c r="E124" s="4" t="n"/>
      <c r="F124" s="14" t="n"/>
    </row>
    <row r="125">
      <c r="A125" s="14" t="n"/>
      <c r="B125" s="9" t="n"/>
      <c r="C125" s="4" t="n"/>
      <c r="D125" s="4" t="n"/>
      <c r="E125" s="4" t="n"/>
      <c r="F125" s="14" t="n"/>
    </row>
    <row r="126">
      <c r="A126" s="14" t="n"/>
      <c r="B126" s="9" t="n"/>
      <c r="C126" s="4" t="n"/>
      <c r="D126" s="4" t="n"/>
      <c r="E126" s="4" t="n"/>
      <c r="F126" s="14" t="n"/>
    </row>
    <row r="127">
      <c r="A127" s="14" t="n"/>
      <c r="B127" s="9" t="n"/>
      <c r="C127" s="4" t="n"/>
      <c r="D127" s="4" t="n"/>
      <c r="E127" s="4" t="n"/>
      <c r="F127" s="14" t="n"/>
    </row>
    <row r="128">
      <c r="A128" s="14" t="n"/>
      <c r="B128" s="9" t="n"/>
      <c r="C128" s="4" t="n"/>
      <c r="D128" s="4" t="n"/>
      <c r="E128" s="4" t="n"/>
      <c r="F128" s="14" t="n"/>
    </row>
    <row r="129">
      <c r="A129" s="14" t="n"/>
      <c r="B129" s="9" t="n"/>
      <c r="C129" s="4" t="n"/>
      <c r="D129" s="4" t="n"/>
      <c r="E129" s="4" t="n"/>
      <c r="F129" s="14" t="n"/>
    </row>
    <row r="130">
      <c r="A130" s="14" t="n"/>
      <c r="B130" s="9" t="n"/>
      <c r="C130" s="4" t="n"/>
      <c r="D130" s="4" t="n"/>
      <c r="E130" s="4" t="n"/>
      <c r="F130" s="14" t="n"/>
    </row>
    <row r="131">
      <c r="A131" s="14" t="n"/>
      <c r="B131" s="9" t="n"/>
      <c r="C131" s="4" t="n"/>
      <c r="D131" s="4" t="n"/>
      <c r="E131" s="4" t="n"/>
      <c r="F131" s="14" t="n"/>
    </row>
    <row r="132">
      <c r="A132" s="14" t="n"/>
      <c r="B132" s="9" t="n"/>
      <c r="C132" s="4" t="n"/>
      <c r="D132" s="4" t="n"/>
      <c r="E132" s="4" t="n"/>
      <c r="F132" s="14" t="n"/>
    </row>
    <row r="133">
      <c r="A133" s="14" t="n"/>
      <c r="B133" s="9" t="n"/>
      <c r="C133" s="4" t="n"/>
      <c r="D133" s="4" t="n"/>
      <c r="E133" s="4" t="n"/>
      <c r="F133" s="14" t="n"/>
    </row>
    <row r="134">
      <c r="A134" s="14" t="n"/>
      <c r="B134" s="9" t="n"/>
      <c r="C134" s="4" t="n"/>
      <c r="D134" s="4" t="n"/>
      <c r="E134" s="4" t="n"/>
      <c r="F134" s="14" t="n"/>
    </row>
    <row r="135">
      <c r="A135" s="14" t="n"/>
      <c r="B135" s="9" t="n"/>
      <c r="C135" s="4" t="n"/>
      <c r="D135" s="4" t="n"/>
      <c r="E135" s="4" t="n"/>
      <c r="F135" s="14" t="n"/>
    </row>
    <row r="136">
      <c r="A136" s="14" t="n"/>
      <c r="B136" s="9" t="n"/>
      <c r="C136" s="4" t="n"/>
      <c r="D136" s="4" t="n"/>
      <c r="E136" s="4" t="n"/>
      <c r="F136" s="14" t="n"/>
    </row>
    <row r="137">
      <c r="A137" s="14" t="n"/>
      <c r="B137" s="9" t="n"/>
      <c r="C137" s="4" t="n"/>
      <c r="D137" s="4" t="n"/>
      <c r="E137" s="4" t="n"/>
      <c r="F137" s="14" t="n"/>
    </row>
    <row r="138">
      <c r="A138" s="14" t="n"/>
      <c r="B138" s="9" t="n"/>
      <c r="C138" s="4" t="n"/>
      <c r="D138" s="4" t="n"/>
      <c r="E138" s="4" t="n"/>
      <c r="F138" s="14" t="n"/>
    </row>
    <row r="139">
      <c r="A139" s="14" t="n"/>
      <c r="B139" s="9" t="n"/>
      <c r="C139" s="4" t="n"/>
      <c r="D139" s="4" t="n"/>
      <c r="E139" s="4" t="n"/>
      <c r="F139" s="14" t="n"/>
    </row>
    <row r="140">
      <c r="A140" s="14" t="n"/>
      <c r="B140" s="9" t="n"/>
      <c r="C140" s="4" t="n"/>
      <c r="D140" s="4" t="n"/>
      <c r="E140" s="4" t="n"/>
      <c r="F140" s="14" t="n"/>
    </row>
    <row r="141">
      <c r="A141" s="14" t="n"/>
      <c r="B141" s="9" t="n"/>
      <c r="C141" s="4" t="n"/>
      <c r="D141" s="4" t="n"/>
      <c r="E141" s="4" t="n"/>
      <c r="F141" s="14" t="n"/>
    </row>
    <row r="142">
      <c r="A142" s="14" t="n"/>
      <c r="B142" s="9" t="n"/>
      <c r="C142" s="4" t="n"/>
      <c r="D142" s="4" t="n"/>
      <c r="E142" s="4" t="n"/>
      <c r="F142" s="14" t="n"/>
    </row>
    <row r="143">
      <c r="A143" s="14" t="n"/>
      <c r="B143" s="9" t="n"/>
      <c r="C143" s="4" t="n"/>
      <c r="D143" s="4" t="n"/>
      <c r="E143" s="4" t="n"/>
      <c r="F143" s="14" t="n"/>
    </row>
    <row r="144">
      <c r="A144" s="14" t="n"/>
      <c r="B144" s="9" t="n"/>
      <c r="C144" s="4" t="n"/>
      <c r="D144" s="4" t="n"/>
      <c r="E144" s="4" t="n"/>
      <c r="F144" s="14" t="n"/>
    </row>
    <row r="145">
      <c r="A145" s="14" t="n"/>
      <c r="B145" s="9" t="n"/>
      <c r="C145" s="4" t="n"/>
      <c r="D145" s="4" t="n"/>
      <c r="E145" s="4" t="n"/>
      <c r="F145" s="14" t="n"/>
    </row>
    <row r="146">
      <c r="A146" s="14" t="n"/>
      <c r="B146" s="9" t="n"/>
      <c r="C146" s="4" t="n"/>
      <c r="D146" s="4" t="n"/>
      <c r="E146" s="4" t="n"/>
      <c r="F146" s="14" t="n"/>
    </row>
    <row r="147">
      <c r="A147" s="14" t="n"/>
      <c r="B147" s="9" t="n"/>
      <c r="C147" s="4" t="n"/>
      <c r="D147" s="4" t="n"/>
      <c r="E147" s="4" t="n"/>
      <c r="F147" s="14" t="n"/>
    </row>
    <row r="148">
      <c r="A148" s="14" t="n"/>
      <c r="B148" s="9" t="n"/>
      <c r="C148" s="4" t="n"/>
      <c r="D148" s="4" t="n"/>
      <c r="E148" s="4" t="n"/>
      <c r="F148" s="14" t="n"/>
    </row>
    <row r="149">
      <c r="A149" s="14" t="n"/>
      <c r="B149" s="9" t="n"/>
      <c r="C149" s="4" t="n"/>
      <c r="D149" s="4" t="n"/>
      <c r="E149" s="4" t="n"/>
      <c r="F149" s="14" t="n"/>
    </row>
    <row r="150">
      <c r="A150" s="14" t="n"/>
      <c r="B150" s="9" t="n"/>
      <c r="C150" s="4" t="n"/>
      <c r="D150" s="4" t="n"/>
      <c r="E150" s="4" t="n"/>
      <c r="F150" s="14" t="n"/>
    </row>
    <row r="151">
      <c r="A151" s="14" t="n"/>
      <c r="B151" s="9" t="n"/>
      <c r="C151" s="4" t="n"/>
      <c r="D151" s="4" t="n"/>
      <c r="E151" s="4" t="n"/>
      <c r="F151" s="14" t="n"/>
    </row>
    <row r="152">
      <c r="A152" s="14" t="n"/>
      <c r="B152" s="9" t="n"/>
      <c r="C152" s="4" t="n"/>
      <c r="D152" s="4" t="n"/>
      <c r="E152" s="4" t="n"/>
      <c r="F152" s="14" t="n"/>
    </row>
    <row r="153">
      <c r="A153" s="14" t="n"/>
      <c r="B153" s="9" t="n"/>
      <c r="C153" s="4" t="n"/>
      <c r="D153" s="4" t="n"/>
      <c r="E153" s="4" t="n"/>
      <c r="F153" s="14" t="n"/>
    </row>
    <row r="154">
      <c r="A154" s="14" t="n"/>
      <c r="B154" s="9" t="n"/>
      <c r="C154" s="4" t="n"/>
      <c r="D154" s="4" t="n"/>
      <c r="E154" s="4" t="n"/>
      <c r="F154" s="14" t="n"/>
    </row>
  </sheetData>
  <mergeCells count="2">
    <mergeCell ref="A2:F2"/>
    <mergeCell ref="A1:F1"/>
  </mergeCells>
  <dataValidations count="2">
    <dataValidation sqref="B5:B154" showDropDown="0" showInputMessage="0" showErrorMessage="0" allowBlank="0" type="date">
      <formula1>DATE(1900,1,1)</formula1>
      <formula2>DATE(2100,12,31)</formula2>
    </dataValidation>
    <dataValidation sqref="C5:E154" showDropDown="0" showInputMessage="0" showErrorMessage="0" allowBlank="0" type="decimal">
      <formula1>0</formula1>
      <formula2>10000</formula2>
    </dataValidation>
  </dataValidation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D154"/>
  <sheetViews>
    <sheetView showGridLines="0" zoomScale="80" zoomScaleNormal="80" workbookViewId="0">
      <selection activeCell="A1" sqref="A1:D1"/>
    </sheetView>
  </sheetViews>
  <sheetFormatPr baseColWidth="8" defaultColWidth="8.875" defaultRowHeight="14.25"/>
  <cols>
    <col width="18" customWidth="1" min="1" max="1"/>
    <col width="20" customWidth="1" min="2" max="2"/>
    <col width="14" customWidth="1" min="3" max="3"/>
    <col width="40" customWidth="1" min="4" max="4"/>
  </cols>
  <sheetData>
    <row r="1" ht="15.75" customHeight="1">
      <c r="A1" s="12" t="inlineStr">
        <is>
          <t>Journey Events</t>
        </is>
      </c>
    </row>
    <row r="2">
      <c r="A2" s="13" t="inlineStr">
        <is>
          <t>Repeating log: add one row per event in the patient's journey timeline.</t>
        </is>
      </c>
    </row>
    <row r="4" ht="30" customHeight="1">
      <c r="A4" s="2" t="inlineStr">
        <is>
          <t>Unique Patient Code *</t>
        </is>
      </c>
      <c r="B4" s="2" t="inlineStr">
        <is>
          <t>Event Type</t>
        </is>
      </c>
      <c r="C4" s="2" t="inlineStr">
        <is>
          <t>Event Date</t>
        </is>
      </c>
      <c r="D4" s="2" t="inlineStr">
        <is>
          <t>Notes</t>
        </is>
      </c>
    </row>
    <row r="5" ht="28.5" customHeight="1">
      <c r="A5" s="14" t="inlineStr">
        <is>
          <t>PCR-001</t>
        </is>
      </c>
      <c r="B5" s="14" t="inlineStr">
        <is>
          <t>Outpatient Visit</t>
        </is>
      </c>
      <c r="C5" s="9" t="n">
        <v>45976</v>
      </c>
      <c r="D5" s="14" t="inlineStr">
        <is>
          <t>Initial registry capture after referral and baseline PSA review.</t>
        </is>
      </c>
    </row>
    <row r="6" ht="28.5" customHeight="1">
      <c r="A6" s="14" t="inlineStr">
        <is>
          <t>PCR-001</t>
        </is>
      </c>
      <c r="B6" s="14" t="inlineStr">
        <is>
          <t>Biopsy / Procedure</t>
        </is>
      </c>
      <c r="C6" s="9" t="n">
        <v>45996</v>
      </c>
      <c r="D6" s="14" t="inlineStr">
        <is>
          <t>Diagnostic biopsy completed; grade group 5 disease documented.</t>
        </is>
      </c>
    </row>
    <row r="7" ht="28.5" customHeight="1">
      <c r="A7" s="14" t="inlineStr">
        <is>
          <t>PCR-001</t>
        </is>
      </c>
      <c r="B7" s="14" t="inlineStr">
        <is>
          <t>Treatment Initiation</t>
        </is>
      </c>
      <c r="C7" s="9" t="n">
        <v>46040</v>
      </c>
      <c r="D7" s="14" t="inlineStr">
        <is>
          <t>ADT started while RT approval remained pending.</t>
        </is>
      </c>
    </row>
    <row r="8" ht="28.5" customHeight="1">
      <c r="A8" s="14" t="inlineStr">
        <is>
          <t>PCR-002</t>
        </is>
      </c>
      <c r="B8" s="14" t="inlineStr">
        <is>
          <t>MDT Review</t>
        </is>
      </c>
      <c r="C8" s="9" t="n">
        <v>45902</v>
      </c>
      <c r="D8" s="14" t="inlineStr">
        <is>
          <t>Systemic-intensification pathway agreed for metastatic HSPC.</t>
        </is>
      </c>
    </row>
    <row r="9">
      <c r="A9" s="14" t="inlineStr">
        <is>
          <t>PCR-002</t>
        </is>
      </c>
      <c r="B9" s="14" t="inlineStr">
        <is>
          <t>Treatment Initiation</t>
        </is>
      </c>
      <c r="C9" s="9" t="n">
        <v>45905</v>
      </c>
      <c r="D9" s="14" t="inlineStr">
        <is>
          <t>ADT and abiraterone pathway initiated.</t>
        </is>
      </c>
    </row>
    <row r="10" ht="28.5" customHeight="1">
      <c r="A10" s="14" t="inlineStr">
        <is>
          <t>PCR-002</t>
        </is>
      </c>
      <c r="B10" s="14" t="inlineStr">
        <is>
          <t>Lab / PSA</t>
        </is>
      </c>
      <c r="C10" s="9" t="n">
        <v>46127</v>
      </c>
      <c r="D10" s="14" t="inlineStr">
        <is>
          <t>PSA nadir reached with ongoing pathway tolerance monitoring.</t>
        </is>
      </c>
    </row>
    <row r="11" ht="28.5" customHeight="1">
      <c r="A11" s="14" t="inlineStr">
        <is>
          <t>PCR-003</t>
        </is>
      </c>
      <c r="B11" s="14" t="inlineStr">
        <is>
          <t>Outpatient Visit</t>
        </is>
      </c>
      <c r="C11" s="9" t="n">
        <v>45912</v>
      </c>
      <c r="D11" s="14" t="inlineStr">
        <is>
          <t>Incidental PSA elevation workup opened in registry.</t>
        </is>
      </c>
    </row>
    <row r="12">
      <c r="A12" s="14" t="inlineStr">
        <is>
          <t>PCR-003</t>
        </is>
      </c>
      <c r="B12" s="14" t="inlineStr">
        <is>
          <t>MDT Review</t>
        </is>
      </c>
      <c r="C12" s="9" t="n">
        <v>45925</v>
      </c>
      <c r="D12" s="14" t="inlineStr">
        <is>
          <t>Curative ADT plus definitive RT plan confirmed.</t>
        </is>
      </c>
    </row>
    <row r="13" ht="28.5" customHeight="1">
      <c r="A13" s="14" t="inlineStr">
        <is>
          <t>PCR-003</t>
        </is>
      </c>
      <c r="B13" s="14" t="inlineStr">
        <is>
          <t>Treatment Change</t>
        </is>
      </c>
      <c r="C13" s="9" t="n">
        <v>45990</v>
      </c>
      <c r="D13" s="14" t="inlineStr">
        <is>
          <t>Definitive RT completed; follow-up surveillance phase entered.</t>
        </is>
      </c>
    </row>
    <row r="14" ht="28.5" customHeight="1">
      <c r="A14" s="14" t="inlineStr">
        <is>
          <t>PCR-004</t>
        </is>
      </c>
      <c r="B14" s="14" t="inlineStr">
        <is>
          <t>Treatment Change</t>
        </is>
      </c>
      <c r="C14" s="9" t="n">
        <v>46001</v>
      </c>
      <c r="D14" s="14" t="inlineStr">
        <is>
          <t>Progression to CRPC documented with pathway reassessment.</t>
        </is>
      </c>
    </row>
    <row r="15" ht="28.5" customHeight="1">
      <c r="A15" s="14" t="inlineStr">
        <is>
          <t>PCR-004</t>
        </is>
      </c>
      <c r="B15" s="14" t="inlineStr">
        <is>
          <t>Adverse Event</t>
        </is>
      </c>
      <c r="C15" s="9" t="n">
        <v>46164</v>
      </c>
      <c r="D15" s="14" t="inlineStr">
        <is>
          <t>Fatigue and peripheral neuropathy documented during later-line therapy.</t>
        </is>
      </c>
    </row>
    <row r="16" ht="28.5" customHeight="1">
      <c r="A16" s="14" t="inlineStr">
        <is>
          <t>PCR-004</t>
        </is>
      </c>
      <c r="B16" s="14" t="inlineStr">
        <is>
          <t>MDT Review</t>
        </is>
      </c>
      <c r="C16" s="9" t="n">
        <v>46152</v>
      </c>
      <c r="D16" s="14" t="inlineStr">
        <is>
          <t>Trial-screening route and next-line options reviewed.</t>
        </is>
      </c>
    </row>
    <row r="17">
      <c r="A17" s="14" t="n"/>
      <c r="B17" s="14" t="n"/>
      <c r="C17" s="9" t="n"/>
      <c r="D17" s="14" t="n"/>
    </row>
    <row r="18">
      <c r="A18" s="14" t="n"/>
      <c r="B18" s="14" t="n"/>
      <c r="C18" s="9" t="n"/>
      <c r="D18" s="14" t="n"/>
    </row>
    <row r="19">
      <c r="A19" s="14" t="n"/>
      <c r="B19" s="14" t="n"/>
      <c r="C19" s="9" t="n"/>
      <c r="D19" s="14" t="n"/>
    </row>
    <row r="20">
      <c r="A20" s="14" t="n"/>
      <c r="B20" s="14" t="n"/>
      <c r="C20" s="9" t="n"/>
      <c r="D20" s="14" t="n"/>
    </row>
    <row r="21">
      <c r="A21" s="14" t="n"/>
      <c r="B21" s="14" t="n"/>
      <c r="C21" s="9" t="n"/>
      <c r="D21" s="14" t="n"/>
    </row>
    <row r="22">
      <c r="A22" s="14" t="n"/>
      <c r="B22" s="14" t="n"/>
      <c r="C22" s="9" t="n"/>
      <c r="D22" s="14" t="n"/>
    </row>
    <row r="23">
      <c r="A23" s="14" t="n"/>
      <c r="B23" s="14" t="n"/>
      <c r="C23" s="9" t="n"/>
      <c r="D23" s="14" t="n"/>
    </row>
    <row r="24">
      <c r="A24" s="14" t="n"/>
      <c r="B24" s="14" t="n"/>
      <c r="C24" s="9" t="n"/>
      <c r="D24" s="14" t="n"/>
    </row>
    <row r="25">
      <c r="A25" s="14" t="n"/>
      <c r="B25" s="14" t="n"/>
      <c r="C25" s="9" t="n"/>
      <c r="D25" s="14" t="n"/>
    </row>
    <row r="26">
      <c r="A26" s="14" t="n"/>
      <c r="B26" s="14" t="n"/>
      <c r="C26" s="9" t="n"/>
      <c r="D26" s="14" t="n"/>
    </row>
    <row r="27">
      <c r="A27" s="14" t="n"/>
      <c r="B27" s="14" t="n"/>
      <c r="C27" s="9" t="n"/>
      <c r="D27" s="14" t="n"/>
    </row>
    <row r="28">
      <c r="A28" s="14" t="n"/>
      <c r="B28" s="14" t="n"/>
      <c r="C28" s="9" t="n"/>
      <c r="D28" s="14" t="n"/>
    </row>
    <row r="29">
      <c r="A29" s="14" t="n"/>
      <c r="B29" s="14" t="n"/>
      <c r="C29" s="9" t="n"/>
      <c r="D29" s="14" t="n"/>
    </row>
    <row r="30">
      <c r="A30" s="14" t="n"/>
      <c r="B30" s="14" t="n"/>
      <c r="C30" s="9" t="n"/>
      <c r="D30" s="14" t="n"/>
    </row>
    <row r="31">
      <c r="A31" s="14" t="n"/>
      <c r="B31" s="14" t="n"/>
      <c r="C31" s="9" t="n"/>
      <c r="D31" s="14" t="n"/>
    </row>
    <row r="32">
      <c r="A32" s="14" t="n"/>
      <c r="B32" s="14" t="n"/>
      <c r="C32" s="9" t="n"/>
      <c r="D32" s="14" t="n"/>
    </row>
    <row r="33">
      <c r="A33" s="14" t="n"/>
      <c r="B33" s="14" t="n"/>
      <c r="C33" s="9" t="n"/>
      <c r="D33" s="14" t="n"/>
    </row>
    <row r="34">
      <c r="A34" s="14" t="n"/>
      <c r="B34" s="14" t="n"/>
      <c r="C34" s="9" t="n"/>
      <c r="D34" s="14" t="n"/>
    </row>
    <row r="35">
      <c r="A35" s="14" t="n"/>
      <c r="B35" s="14" t="n"/>
      <c r="C35" s="9" t="n"/>
      <c r="D35" s="14" t="n"/>
    </row>
    <row r="36">
      <c r="A36" s="14" t="n"/>
      <c r="B36" s="14" t="n"/>
      <c r="C36" s="9" t="n"/>
      <c r="D36" s="14" t="n"/>
    </row>
    <row r="37">
      <c r="A37" s="14" t="n"/>
      <c r="B37" s="14" t="n"/>
      <c r="C37" s="9" t="n"/>
      <c r="D37" s="14" t="n"/>
    </row>
    <row r="38">
      <c r="A38" s="14" t="n"/>
      <c r="B38" s="14" t="n"/>
      <c r="C38" s="9" t="n"/>
      <c r="D38" s="14" t="n"/>
    </row>
    <row r="39">
      <c r="A39" s="14" t="n"/>
      <c r="B39" s="14" t="n"/>
      <c r="C39" s="9" t="n"/>
      <c r="D39" s="14" t="n"/>
    </row>
    <row r="40">
      <c r="A40" s="14" t="n"/>
      <c r="B40" s="14" t="n"/>
      <c r="C40" s="9" t="n"/>
      <c r="D40" s="14" t="n"/>
    </row>
    <row r="41">
      <c r="A41" s="14" t="n"/>
      <c r="B41" s="14" t="n"/>
      <c r="C41" s="9" t="n"/>
      <c r="D41" s="14" t="n"/>
    </row>
    <row r="42">
      <c r="A42" s="14" t="n"/>
      <c r="B42" s="14" t="n"/>
      <c r="C42" s="9" t="n"/>
      <c r="D42" s="14" t="n"/>
    </row>
    <row r="43">
      <c r="A43" s="14" t="n"/>
      <c r="B43" s="14" t="n"/>
      <c r="C43" s="9" t="n"/>
      <c r="D43" s="14" t="n"/>
    </row>
    <row r="44">
      <c r="A44" s="14" t="n"/>
      <c r="B44" s="14" t="n"/>
      <c r="C44" s="9" t="n"/>
      <c r="D44" s="14" t="n"/>
    </row>
    <row r="45">
      <c r="A45" s="14" t="n"/>
      <c r="B45" s="14" t="n"/>
      <c r="C45" s="9" t="n"/>
      <c r="D45" s="14" t="n"/>
    </row>
    <row r="46">
      <c r="A46" s="14" t="n"/>
      <c r="B46" s="14" t="n"/>
      <c r="C46" s="9" t="n"/>
      <c r="D46" s="14" t="n"/>
    </row>
    <row r="47">
      <c r="A47" s="14" t="n"/>
      <c r="B47" s="14" t="n"/>
      <c r="C47" s="9" t="n"/>
      <c r="D47" s="14" t="n"/>
    </row>
    <row r="48">
      <c r="A48" s="14" t="n"/>
      <c r="B48" s="14" t="n"/>
      <c r="C48" s="9" t="n"/>
      <c r="D48" s="14" t="n"/>
    </row>
    <row r="49">
      <c r="A49" s="14" t="n"/>
      <c r="B49" s="14" t="n"/>
      <c r="C49" s="9" t="n"/>
      <c r="D49" s="14" t="n"/>
    </row>
    <row r="50">
      <c r="A50" s="14" t="n"/>
      <c r="B50" s="14" t="n"/>
      <c r="C50" s="9" t="n"/>
      <c r="D50" s="14" t="n"/>
    </row>
    <row r="51">
      <c r="A51" s="14" t="n"/>
      <c r="B51" s="14" t="n"/>
      <c r="C51" s="9" t="n"/>
      <c r="D51" s="14" t="n"/>
    </row>
    <row r="52">
      <c r="A52" s="14" t="n"/>
      <c r="B52" s="14" t="n"/>
      <c r="C52" s="9" t="n"/>
      <c r="D52" s="14" t="n"/>
    </row>
    <row r="53">
      <c r="A53" s="14" t="n"/>
      <c r="B53" s="14" t="n"/>
      <c r="C53" s="9" t="n"/>
      <c r="D53" s="14" t="n"/>
    </row>
    <row r="54">
      <c r="A54" s="14" t="n"/>
      <c r="B54" s="14" t="n"/>
      <c r="C54" s="9" t="n"/>
      <c r="D54" s="14" t="n"/>
    </row>
    <row r="55">
      <c r="A55" s="14" t="n"/>
      <c r="B55" s="14" t="n"/>
      <c r="C55" s="9" t="n"/>
      <c r="D55" s="14" t="n"/>
    </row>
    <row r="56">
      <c r="A56" s="14" t="n"/>
      <c r="B56" s="14" t="n"/>
      <c r="C56" s="9" t="n"/>
      <c r="D56" s="14" t="n"/>
    </row>
    <row r="57">
      <c r="A57" s="14" t="n"/>
      <c r="B57" s="14" t="n"/>
      <c r="C57" s="9" t="n"/>
      <c r="D57" s="14" t="n"/>
    </row>
    <row r="58">
      <c r="A58" s="14" t="n"/>
      <c r="B58" s="14" t="n"/>
      <c r="C58" s="9" t="n"/>
      <c r="D58" s="14" t="n"/>
    </row>
    <row r="59">
      <c r="A59" s="14" t="n"/>
      <c r="B59" s="14" t="n"/>
      <c r="C59" s="9" t="n"/>
      <c r="D59" s="14" t="n"/>
    </row>
    <row r="60">
      <c r="A60" s="14" t="n"/>
      <c r="B60" s="14" t="n"/>
      <c r="C60" s="9" t="n"/>
      <c r="D60" s="14" t="n"/>
    </row>
    <row r="61">
      <c r="A61" s="14" t="n"/>
      <c r="B61" s="14" t="n"/>
      <c r="C61" s="9" t="n"/>
      <c r="D61" s="14" t="n"/>
    </row>
    <row r="62">
      <c r="A62" s="14" t="n"/>
      <c r="B62" s="14" t="n"/>
      <c r="C62" s="9" t="n"/>
      <c r="D62" s="14" t="n"/>
    </row>
    <row r="63">
      <c r="A63" s="14" t="n"/>
      <c r="B63" s="14" t="n"/>
      <c r="C63" s="9" t="n"/>
      <c r="D63" s="14" t="n"/>
    </row>
    <row r="64">
      <c r="A64" s="14" t="n"/>
      <c r="B64" s="14" t="n"/>
      <c r="C64" s="9" t="n"/>
      <c r="D64" s="14" t="n"/>
    </row>
    <row r="65">
      <c r="A65" s="14" t="n"/>
      <c r="B65" s="14" t="n"/>
      <c r="C65" s="9" t="n"/>
      <c r="D65" s="14" t="n"/>
    </row>
    <row r="66">
      <c r="A66" s="14" t="n"/>
      <c r="B66" s="14" t="n"/>
      <c r="C66" s="9" t="n"/>
      <c r="D66" s="14" t="n"/>
    </row>
    <row r="67">
      <c r="A67" s="14" t="n"/>
      <c r="B67" s="14" t="n"/>
      <c r="C67" s="9" t="n"/>
      <c r="D67" s="14" t="n"/>
    </row>
    <row r="68">
      <c r="A68" s="14" t="n"/>
      <c r="B68" s="14" t="n"/>
      <c r="C68" s="9" t="n"/>
      <c r="D68" s="14" t="n"/>
    </row>
    <row r="69">
      <c r="A69" s="14" t="n"/>
      <c r="B69" s="14" t="n"/>
      <c r="C69" s="9" t="n"/>
      <c r="D69" s="14" t="n"/>
    </row>
    <row r="70">
      <c r="A70" s="14" t="n"/>
      <c r="B70" s="14" t="n"/>
      <c r="C70" s="9" t="n"/>
      <c r="D70" s="14" t="n"/>
    </row>
    <row r="71">
      <c r="A71" s="14" t="n"/>
      <c r="B71" s="14" t="n"/>
      <c r="C71" s="9" t="n"/>
      <c r="D71" s="14" t="n"/>
    </row>
    <row r="72">
      <c r="A72" s="14" t="n"/>
      <c r="B72" s="14" t="n"/>
      <c r="C72" s="9" t="n"/>
      <c r="D72" s="14" t="n"/>
    </row>
    <row r="73">
      <c r="A73" s="14" t="n"/>
      <c r="B73" s="14" t="n"/>
      <c r="C73" s="9" t="n"/>
      <c r="D73" s="14" t="n"/>
    </row>
    <row r="74">
      <c r="A74" s="14" t="n"/>
      <c r="B74" s="14" t="n"/>
      <c r="C74" s="9" t="n"/>
      <c r="D74" s="14" t="n"/>
    </row>
    <row r="75">
      <c r="A75" s="14" t="n"/>
      <c r="B75" s="14" t="n"/>
      <c r="C75" s="9" t="n"/>
      <c r="D75" s="14" t="n"/>
    </row>
    <row r="76">
      <c r="A76" s="14" t="n"/>
      <c r="B76" s="14" t="n"/>
      <c r="C76" s="9" t="n"/>
      <c r="D76" s="14" t="n"/>
    </row>
    <row r="77">
      <c r="A77" s="14" t="n"/>
      <c r="B77" s="14" t="n"/>
      <c r="C77" s="9" t="n"/>
      <c r="D77" s="14" t="n"/>
    </row>
    <row r="78">
      <c r="A78" s="14" t="n"/>
      <c r="B78" s="14" t="n"/>
      <c r="C78" s="9" t="n"/>
      <c r="D78" s="14" t="n"/>
    </row>
    <row r="79">
      <c r="A79" s="14" t="n"/>
      <c r="B79" s="14" t="n"/>
      <c r="C79" s="9" t="n"/>
      <c r="D79" s="14" t="n"/>
    </row>
    <row r="80">
      <c r="A80" s="14" t="n"/>
      <c r="B80" s="14" t="n"/>
      <c r="C80" s="9" t="n"/>
      <c r="D80" s="14" t="n"/>
    </row>
    <row r="81">
      <c r="A81" s="14" t="n"/>
      <c r="B81" s="14" t="n"/>
      <c r="C81" s="9" t="n"/>
      <c r="D81" s="14" t="n"/>
    </row>
    <row r="82">
      <c r="A82" s="14" t="n"/>
      <c r="B82" s="14" t="n"/>
      <c r="C82" s="9" t="n"/>
      <c r="D82" s="14" t="n"/>
    </row>
    <row r="83">
      <c r="A83" s="14" t="n"/>
      <c r="B83" s="14" t="n"/>
      <c r="C83" s="9" t="n"/>
      <c r="D83" s="14" t="n"/>
    </row>
    <row r="84">
      <c r="A84" s="14" t="n"/>
      <c r="B84" s="14" t="n"/>
      <c r="C84" s="9" t="n"/>
      <c r="D84" s="14" t="n"/>
    </row>
    <row r="85">
      <c r="A85" s="14" t="n"/>
      <c r="B85" s="14" t="n"/>
      <c r="C85" s="9" t="n"/>
      <c r="D85" s="14" t="n"/>
    </row>
    <row r="86">
      <c r="A86" s="14" t="n"/>
      <c r="B86" s="14" t="n"/>
      <c r="C86" s="9" t="n"/>
      <c r="D86" s="14" t="n"/>
    </row>
    <row r="87">
      <c r="A87" s="14" t="n"/>
      <c r="B87" s="14" t="n"/>
      <c r="C87" s="9" t="n"/>
      <c r="D87" s="14" t="n"/>
    </row>
    <row r="88">
      <c r="A88" s="14" t="n"/>
      <c r="B88" s="14" t="n"/>
      <c r="C88" s="9" t="n"/>
      <c r="D88" s="14" t="n"/>
    </row>
    <row r="89">
      <c r="A89" s="14" t="n"/>
      <c r="B89" s="14" t="n"/>
      <c r="C89" s="9" t="n"/>
      <c r="D89" s="14" t="n"/>
    </row>
    <row r="90">
      <c r="A90" s="14" t="n"/>
      <c r="B90" s="14" t="n"/>
      <c r="C90" s="9" t="n"/>
      <c r="D90" s="14" t="n"/>
    </row>
    <row r="91">
      <c r="A91" s="14" t="n"/>
      <c r="B91" s="14" t="n"/>
      <c r="C91" s="9" t="n"/>
      <c r="D91" s="14" t="n"/>
    </row>
    <row r="92">
      <c r="A92" s="14" t="n"/>
      <c r="B92" s="14" t="n"/>
      <c r="C92" s="9" t="n"/>
      <c r="D92" s="14" t="n"/>
    </row>
    <row r="93">
      <c r="A93" s="14" t="n"/>
      <c r="B93" s="14" t="n"/>
      <c r="C93" s="9" t="n"/>
      <c r="D93" s="14" t="n"/>
    </row>
    <row r="94">
      <c r="A94" s="14" t="n"/>
      <c r="B94" s="14" t="n"/>
      <c r="C94" s="9" t="n"/>
      <c r="D94" s="14" t="n"/>
    </row>
    <row r="95">
      <c r="A95" s="14" t="n"/>
      <c r="B95" s="14" t="n"/>
      <c r="C95" s="9" t="n"/>
      <c r="D95" s="14" t="n"/>
    </row>
    <row r="96">
      <c r="A96" s="14" t="n"/>
      <c r="B96" s="14" t="n"/>
      <c r="C96" s="9" t="n"/>
      <c r="D96" s="14" t="n"/>
    </row>
    <row r="97">
      <c r="A97" s="14" t="n"/>
      <c r="B97" s="14" t="n"/>
      <c r="C97" s="9" t="n"/>
      <c r="D97" s="14" t="n"/>
    </row>
    <row r="98">
      <c r="A98" s="14" t="n"/>
      <c r="B98" s="14" t="n"/>
      <c r="C98" s="9" t="n"/>
      <c r="D98" s="14" t="n"/>
    </row>
    <row r="99">
      <c r="A99" s="14" t="n"/>
      <c r="B99" s="14" t="n"/>
      <c r="C99" s="9" t="n"/>
      <c r="D99" s="14" t="n"/>
    </row>
    <row r="100">
      <c r="A100" s="14" t="n"/>
      <c r="B100" s="14" t="n"/>
      <c r="C100" s="9" t="n"/>
      <c r="D100" s="14" t="n"/>
    </row>
    <row r="101">
      <c r="A101" s="14" t="n"/>
      <c r="B101" s="14" t="n"/>
      <c r="C101" s="9" t="n"/>
      <c r="D101" s="14" t="n"/>
    </row>
    <row r="102">
      <c r="A102" s="14" t="n"/>
      <c r="B102" s="14" t="n"/>
      <c r="C102" s="9" t="n"/>
      <c r="D102" s="14" t="n"/>
    </row>
    <row r="103">
      <c r="A103" s="14" t="n"/>
      <c r="B103" s="14" t="n"/>
      <c r="C103" s="9" t="n"/>
      <c r="D103" s="14" t="n"/>
    </row>
    <row r="104">
      <c r="A104" s="14" t="n"/>
      <c r="B104" s="14" t="n"/>
      <c r="C104" s="9" t="n"/>
      <c r="D104" s="14" t="n"/>
    </row>
    <row r="105">
      <c r="A105" s="14" t="n"/>
      <c r="B105" s="14" t="n"/>
      <c r="C105" s="9" t="n"/>
      <c r="D105" s="14" t="n"/>
    </row>
    <row r="106">
      <c r="A106" s="14" t="n"/>
      <c r="B106" s="14" t="n"/>
      <c r="C106" s="9" t="n"/>
      <c r="D106" s="14" t="n"/>
    </row>
    <row r="107">
      <c r="A107" s="14" t="n"/>
      <c r="B107" s="14" t="n"/>
      <c r="C107" s="9" t="n"/>
      <c r="D107" s="14" t="n"/>
    </row>
    <row r="108">
      <c r="A108" s="14" t="n"/>
      <c r="B108" s="14" t="n"/>
      <c r="C108" s="9" t="n"/>
      <c r="D108" s="14" t="n"/>
    </row>
    <row r="109">
      <c r="A109" s="14" t="n"/>
      <c r="B109" s="14" t="n"/>
      <c r="C109" s="9" t="n"/>
      <c r="D109" s="14" t="n"/>
    </row>
    <row r="110">
      <c r="A110" s="14" t="n"/>
      <c r="B110" s="14" t="n"/>
      <c r="C110" s="9" t="n"/>
      <c r="D110" s="14" t="n"/>
    </row>
    <row r="111">
      <c r="A111" s="14" t="n"/>
      <c r="B111" s="14" t="n"/>
      <c r="C111" s="9" t="n"/>
      <c r="D111" s="14" t="n"/>
    </row>
    <row r="112">
      <c r="A112" s="14" t="n"/>
      <c r="B112" s="14" t="n"/>
      <c r="C112" s="9" t="n"/>
      <c r="D112" s="14" t="n"/>
    </row>
    <row r="113">
      <c r="A113" s="14" t="n"/>
      <c r="B113" s="14" t="n"/>
      <c r="C113" s="9" t="n"/>
      <c r="D113" s="14" t="n"/>
    </row>
    <row r="114">
      <c r="A114" s="14" t="n"/>
      <c r="B114" s="14" t="n"/>
      <c r="C114" s="9" t="n"/>
      <c r="D114" s="14" t="n"/>
    </row>
    <row r="115">
      <c r="A115" s="14" t="n"/>
      <c r="B115" s="14" t="n"/>
      <c r="C115" s="9" t="n"/>
      <c r="D115" s="14" t="n"/>
    </row>
    <row r="116">
      <c r="A116" s="14" t="n"/>
      <c r="B116" s="14" t="n"/>
      <c r="C116" s="9" t="n"/>
      <c r="D116" s="14" t="n"/>
    </row>
    <row r="117">
      <c r="A117" s="14" t="n"/>
      <c r="B117" s="14" t="n"/>
      <c r="C117" s="9" t="n"/>
      <c r="D117" s="14" t="n"/>
    </row>
    <row r="118">
      <c r="A118" s="14" t="n"/>
      <c r="B118" s="14" t="n"/>
      <c r="C118" s="9" t="n"/>
      <c r="D118" s="14" t="n"/>
    </row>
    <row r="119">
      <c r="A119" s="14" t="n"/>
      <c r="B119" s="14" t="n"/>
      <c r="C119" s="9" t="n"/>
      <c r="D119" s="14" t="n"/>
    </row>
    <row r="120">
      <c r="A120" s="14" t="n"/>
      <c r="B120" s="14" t="n"/>
      <c r="C120" s="9" t="n"/>
      <c r="D120" s="14" t="n"/>
    </row>
    <row r="121">
      <c r="A121" s="14" t="n"/>
      <c r="B121" s="14" t="n"/>
      <c r="C121" s="9" t="n"/>
      <c r="D121" s="14" t="n"/>
    </row>
    <row r="122">
      <c r="A122" s="14" t="n"/>
      <c r="B122" s="14" t="n"/>
      <c r="C122" s="9" t="n"/>
      <c r="D122" s="14" t="n"/>
    </row>
    <row r="123">
      <c r="A123" s="14" t="n"/>
      <c r="B123" s="14" t="n"/>
      <c r="C123" s="9" t="n"/>
      <c r="D123" s="14" t="n"/>
    </row>
    <row r="124">
      <c r="A124" s="14" t="n"/>
      <c r="B124" s="14" t="n"/>
      <c r="C124" s="9" t="n"/>
      <c r="D124" s="14" t="n"/>
    </row>
    <row r="125">
      <c r="A125" s="14" t="n"/>
      <c r="B125" s="14" t="n"/>
      <c r="C125" s="9" t="n"/>
      <c r="D125" s="14" t="n"/>
    </row>
    <row r="126">
      <c r="A126" s="14" t="n"/>
      <c r="B126" s="14" t="n"/>
      <c r="C126" s="9" t="n"/>
      <c r="D126" s="14" t="n"/>
    </row>
    <row r="127">
      <c r="A127" s="14" t="n"/>
      <c r="B127" s="14" t="n"/>
      <c r="C127" s="9" t="n"/>
      <c r="D127" s="14" t="n"/>
    </row>
    <row r="128">
      <c r="A128" s="14" t="n"/>
      <c r="B128" s="14" t="n"/>
      <c r="C128" s="9" t="n"/>
      <c r="D128" s="14" t="n"/>
    </row>
    <row r="129">
      <c r="A129" s="14" t="n"/>
      <c r="B129" s="14" t="n"/>
      <c r="C129" s="9" t="n"/>
      <c r="D129" s="14" t="n"/>
    </row>
    <row r="130">
      <c r="A130" s="14" t="n"/>
      <c r="B130" s="14" t="n"/>
      <c r="C130" s="9" t="n"/>
      <c r="D130" s="14" t="n"/>
    </row>
    <row r="131">
      <c r="A131" s="14" t="n"/>
      <c r="B131" s="14" t="n"/>
      <c r="C131" s="9" t="n"/>
      <c r="D131" s="14" t="n"/>
    </row>
    <row r="132">
      <c r="A132" s="14" t="n"/>
      <c r="B132" s="14" t="n"/>
      <c r="C132" s="9" t="n"/>
      <c r="D132" s="14" t="n"/>
    </row>
    <row r="133">
      <c r="A133" s="14" t="n"/>
      <c r="B133" s="14" t="n"/>
      <c r="C133" s="9" t="n"/>
      <c r="D133" s="14" t="n"/>
    </row>
    <row r="134">
      <c r="A134" s="14" t="n"/>
      <c r="B134" s="14" t="n"/>
      <c r="C134" s="9" t="n"/>
      <c r="D134" s="14" t="n"/>
    </row>
    <row r="135">
      <c r="A135" s="14" t="n"/>
      <c r="B135" s="14" t="n"/>
      <c r="C135" s="9" t="n"/>
      <c r="D135" s="14" t="n"/>
    </row>
    <row r="136">
      <c r="A136" s="14" t="n"/>
      <c r="B136" s="14" t="n"/>
      <c r="C136" s="9" t="n"/>
      <c r="D136" s="14" t="n"/>
    </row>
    <row r="137">
      <c r="A137" s="14" t="n"/>
      <c r="B137" s="14" t="n"/>
      <c r="C137" s="9" t="n"/>
      <c r="D137" s="14" t="n"/>
    </row>
    <row r="138">
      <c r="A138" s="14" t="n"/>
      <c r="B138" s="14" t="n"/>
      <c r="C138" s="9" t="n"/>
      <c r="D138" s="14" t="n"/>
    </row>
    <row r="139">
      <c r="A139" s="14" t="n"/>
      <c r="B139" s="14" t="n"/>
      <c r="C139" s="9" t="n"/>
      <c r="D139" s="14" t="n"/>
    </row>
    <row r="140">
      <c r="A140" s="14" t="n"/>
      <c r="B140" s="14" t="n"/>
      <c r="C140" s="9" t="n"/>
      <c r="D140" s="14" t="n"/>
    </row>
    <row r="141">
      <c r="A141" s="14" t="n"/>
      <c r="B141" s="14" t="n"/>
      <c r="C141" s="9" t="n"/>
      <c r="D141" s="14" t="n"/>
    </row>
    <row r="142">
      <c r="A142" s="14" t="n"/>
      <c r="B142" s="14" t="n"/>
      <c r="C142" s="9" t="n"/>
      <c r="D142" s="14" t="n"/>
    </row>
    <row r="143">
      <c r="A143" s="14" t="n"/>
      <c r="B143" s="14" t="n"/>
      <c r="C143" s="9" t="n"/>
      <c r="D143" s="14" t="n"/>
    </row>
    <row r="144">
      <c r="A144" s="14" t="n"/>
      <c r="B144" s="14" t="n"/>
      <c r="C144" s="9" t="n"/>
      <c r="D144" s="14" t="n"/>
    </row>
    <row r="145">
      <c r="A145" s="14" t="n"/>
      <c r="B145" s="14" t="n"/>
      <c r="C145" s="9" t="n"/>
      <c r="D145" s="14" t="n"/>
    </row>
    <row r="146">
      <c r="A146" s="14" t="n"/>
      <c r="B146" s="14" t="n"/>
      <c r="C146" s="9" t="n"/>
      <c r="D146" s="14" t="n"/>
    </row>
    <row r="147">
      <c r="A147" s="14" t="n"/>
      <c r="B147" s="14" t="n"/>
      <c r="C147" s="9" t="n"/>
      <c r="D147" s="14" t="n"/>
    </row>
    <row r="148">
      <c r="A148" s="14" t="n"/>
      <c r="B148" s="14" t="n"/>
      <c r="C148" s="9" t="n"/>
      <c r="D148" s="14" t="n"/>
    </row>
    <row r="149">
      <c r="A149" s="14" t="n"/>
      <c r="B149" s="14" t="n"/>
      <c r="C149" s="9" t="n"/>
      <c r="D149" s="14" t="n"/>
    </row>
    <row r="150">
      <c r="A150" s="14" t="n"/>
      <c r="B150" s="14" t="n"/>
      <c r="C150" s="9" t="n"/>
      <c r="D150" s="14" t="n"/>
    </row>
    <row r="151">
      <c r="A151" s="14" t="n"/>
      <c r="B151" s="14" t="n"/>
      <c r="C151" s="9" t="n"/>
      <c r="D151" s="14" t="n"/>
    </row>
    <row r="152">
      <c r="A152" s="14" t="n"/>
      <c r="B152" s="14" t="n"/>
      <c r="C152" s="9" t="n"/>
      <c r="D152" s="14" t="n"/>
    </row>
    <row r="153">
      <c r="A153" s="14" t="n"/>
      <c r="B153" s="14" t="n"/>
      <c r="C153" s="9" t="n"/>
      <c r="D153" s="14" t="n"/>
    </row>
    <row r="154">
      <c r="A154" s="14" t="n"/>
      <c r="B154" s="14" t="n"/>
      <c r="C154" s="9" t="n"/>
      <c r="D154" s="14" t="n"/>
    </row>
  </sheetData>
  <mergeCells count="2">
    <mergeCell ref="A1:D1"/>
    <mergeCell ref="A2:D2"/>
  </mergeCells>
  <dataValidations count="2">
    <dataValidation sqref="B5:B154" showDropDown="0" showInputMessage="0" showErrorMessage="0" allowBlank="1" type="list">
      <formula1>"Outpatient Visit,Lab / PSA,Imaging,Biopsy / Procedure,Treatment Initiation,Treatment Change,Hospital Admission,MDT Review,Adverse Event,Palliative Referral"</formula1>
    </dataValidation>
    <dataValidation sqref="C5:C154" showDropDown="0" showInputMessage="0" showErrorMessage="0" allowBlank="0" type="date">
      <formula1>DATE(1900,1,1)</formula1>
      <formula2>DATE(2100,12,31)</formula2>
    </dataValidation>
  </dataValidation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s>
  <sheetData>
    <row r="1">
      <c r="A1" s="35" t="inlineStr">
        <is>
          <t>Lab Results — PROPOSED (v3)</t>
        </is>
      </c>
    </row>
    <row r="2">
      <c r="A2" t="inlineStr">
        <is>
          <t>Repeating rows. Reuse the same Unique Patient Code as Demographics_Entry.</t>
        </is>
      </c>
    </row>
    <row r="4">
      <c r="A4" s="19" t="inlineStr">
        <is>
          <t>Unique Patient Code</t>
        </is>
      </c>
      <c r="B4" s="19" t="inlineStr">
        <is>
          <t>Date</t>
        </is>
      </c>
      <c r="C4" s="19" t="inlineStr">
        <is>
          <t>Test</t>
        </is>
      </c>
      <c r="D4" s="19" t="inlineStr">
        <is>
          <t>Value</t>
        </is>
      </c>
      <c r="E4" s="19" t="inlineStr">
        <is>
          <t>Unit</t>
        </is>
      </c>
      <c r="F4" s="19" t="inlineStr">
        <is>
          <t>Remarks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20" customWidth="1" min="5" max="5"/>
    <col width="16" customWidth="1" min="6" max="6"/>
  </cols>
  <sheetData>
    <row r="1">
      <c r="A1" s="35" t="inlineStr">
        <is>
          <t>Adverse Events — PROPOSED (v3)</t>
        </is>
      </c>
    </row>
    <row r="2">
      <c r="A2" t="inlineStr">
        <is>
          <t>Repeating rows. Reuse the same Unique Patient Code as Demographics_Entry.</t>
        </is>
      </c>
    </row>
    <row r="4">
      <c r="A4" s="19" t="inlineStr">
        <is>
          <t>Unique Patient Code</t>
        </is>
      </c>
      <c r="B4" s="19" t="inlineStr">
        <is>
          <t>Adverse Event</t>
        </is>
      </c>
      <c r="C4" s="19" t="inlineStr">
        <is>
          <t>CTCAE Grade</t>
        </is>
      </c>
      <c r="D4" s="19" t="inlineStr">
        <is>
          <t>Onset Date</t>
        </is>
      </c>
      <c r="E4" s="19" t="inlineStr">
        <is>
          <t>Related Treatment</t>
        </is>
      </c>
      <c r="F4" s="19" t="inlineStr">
        <is>
          <t>Action Taken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2" customWidth="1" min="1" max="1"/>
    <col width="16" customWidth="1" min="2" max="2"/>
    <col width="25" customWidth="1" min="3" max="3"/>
  </cols>
  <sheetData>
    <row r="1">
      <c r="A1" s="35" t="inlineStr">
        <is>
          <t>Bone Events — PROPOSED (v3)</t>
        </is>
      </c>
    </row>
    <row r="2">
      <c r="A2" t="inlineStr">
        <is>
          <t>Repeating rows. Reuse the same Unique Patient Code as Demographics_Entry.</t>
        </is>
      </c>
    </row>
    <row r="4">
      <c r="A4" s="19" t="inlineStr">
        <is>
          <t>Unique Patient Code</t>
        </is>
      </c>
      <c r="B4" s="19" t="inlineStr">
        <is>
          <t>Event Date</t>
        </is>
      </c>
      <c r="C4" s="19" t="inlineStr">
        <is>
          <t>Skeletal-Related Event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2" customWidth="1" min="1" max="1"/>
    <col width="18" customWidth="1" min="2" max="2"/>
    <col width="16" customWidth="1" min="3" max="3"/>
    <col width="16" customWidth="1" min="4" max="4"/>
  </cols>
  <sheetData>
    <row r="1">
      <c r="A1" s="35" t="inlineStr">
        <is>
          <t>QoL Assessments — PROPOSED (v3)</t>
        </is>
      </c>
    </row>
    <row r="2">
      <c r="A2" t="inlineStr">
        <is>
          <t>Repeating rows. Reuse the same Unique Patient Code as Demographics_Entry.</t>
        </is>
      </c>
    </row>
    <row r="4">
      <c r="A4" s="19" t="inlineStr">
        <is>
          <t>Unique Patient Code</t>
        </is>
      </c>
      <c r="B4" s="19" t="inlineStr">
        <is>
          <t>Assessment Date</t>
        </is>
      </c>
      <c r="C4" s="19" t="inlineStr">
        <is>
          <t>Instrument</t>
        </is>
      </c>
      <c r="D4" s="19" t="inlineStr">
        <is>
          <t>Score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6" customWidth="1" min="2" max="2"/>
    <col width="16" customWidth="1" min="3" max="3"/>
    <col width="24" customWidth="1" min="4" max="4"/>
    <col width="16" customWidth="1" min="5" max="5"/>
  </cols>
  <sheetData>
    <row r="1">
      <c r="A1" s="35" t="inlineStr">
        <is>
          <t>Healthcare Contacts — PROPOSED (v3)</t>
        </is>
      </c>
    </row>
    <row r="2">
      <c r="A2" t="inlineStr">
        <is>
          <t>Repeating rows. Reuse the same Unique Patient Code as Demographics_Entry.</t>
        </is>
      </c>
    </row>
    <row r="4">
      <c r="A4" s="19" t="inlineStr">
        <is>
          <t>Unique Patient Code</t>
        </is>
      </c>
      <c r="B4" s="19" t="inlineStr">
        <is>
          <t>Date</t>
        </is>
      </c>
      <c r="C4" s="19" t="inlineStr">
        <is>
          <t>Contact Type</t>
        </is>
      </c>
      <c r="D4" s="19" t="inlineStr">
        <is>
          <t>Length of Stay (days)</t>
        </is>
      </c>
      <c r="E4" s="19"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s>
  <sheetData>
    <row r="1">
      <c r="A1" s="35" t="inlineStr">
        <is>
          <t>Referrals — PROPOSED (v3)</t>
        </is>
      </c>
    </row>
    <row r="2">
      <c r="A2" t="inlineStr">
        <is>
          <t>Repeating rows. Reuse the same Unique Patient Code as Demographics_Entry.</t>
        </is>
      </c>
    </row>
    <row r="4">
      <c r="A4" s="19" t="inlineStr">
        <is>
          <t>Unique Patient Code</t>
        </is>
      </c>
      <c r="B4" s="19" t="inlineStr">
        <is>
          <t>Referral Date</t>
        </is>
      </c>
      <c r="C4" s="19" t="inlineStr">
        <is>
          <t>Service</t>
        </is>
      </c>
      <c r="D4" s="19" t="inlineStr">
        <is>
          <t>Status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2" customWidth="1" min="1" max="1"/>
    <col width="18" customWidth="1" min="2" max="2"/>
    <col width="18" customWidth="1" min="3" max="3"/>
    <col width="22" customWidth="1" min="4" max="4"/>
    <col width="25" customWidth="1" min="5" max="5"/>
    <col width="19" customWidth="1" min="6" max="6"/>
    <col width="18" customWidth="1" min="7" max="7"/>
    <col width="18" customWidth="1" min="8" max="8"/>
    <col width="18" customWidth="1" min="9" max="9"/>
  </cols>
  <sheetData>
    <row r="1">
      <c r="A1" s="35" t="inlineStr">
        <is>
          <t>Visits — PROPOSED (v3)</t>
        </is>
      </c>
    </row>
    <row r="2">
      <c r="A2" t="inlineStr">
        <is>
          <t>Repeating rows — the patient returns many times. Reuse the same Unique Patient Code.</t>
        </is>
      </c>
    </row>
    <row r="4">
      <c r="A4" s="19" t="inlineStr">
        <is>
          <t>Unique Patient Code</t>
        </is>
      </c>
      <c r="B4" s="19" t="inlineStr">
        <is>
          <t>Visit Date</t>
        </is>
      </c>
      <c r="C4" s="19" t="inlineStr">
        <is>
          <t>Visit Type</t>
        </is>
      </c>
      <c r="D4" s="19" t="inlineStr">
        <is>
          <t>Seen By (clinician)</t>
        </is>
      </c>
      <c r="E4" s="19" t="inlineStr">
        <is>
          <t>Disease State at Visit</t>
        </is>
      </c>
      <c r="F4" s="19" t="inlineStr">
        <is>
          <t>Reason for Visit</t>
        </is>
      </c>
      <c r="G4" s="19" t="inlineStr">
        <is>
          <t>Visit Outcome</t>
        </is>
      </c>
      <c r="H4" s="19" t="inlineStr">
        <is>
          <t>Next Visit Due</t>
        </is>
      </c>
      <c r="I4" s="19" t="inlineStr">
        <is>
          <t>Notes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2" customWidth="1" min="1" max="1"/>
    <col width="18" customWidth="1" min="2" max="2"/>
    <col width="18" customWidth="1" min="3" max="3"/>
    <col width="19" customWidth="1" min="4" max="4"/>
    <col width="28" customWidth="1" min="5" max="5"/>
    <col width="21" customWidth="1" min="6" max="6"/>
    <col width="23" customWidth="1" min="7" max="7"/>
    <col width="18" customWidth="1" min="8" max="8"/>
    <col width="18" customWidth="1" min="9" max="9"/>
  </cols>
  <sheetData>
    <row r="1">
      <c r="A1" s="35" t="inlineStr">
        <is>
          <t>Treatment Plans — PROPOSED (v3)</t>
        </is>
      </c>
    </row>
    <row r="2">
      <c r="A2" t="inlineStr">
        <is>
          <t>Repeating rows — the patient returns many times. Reuse the same Unique Patient Code.</t>
        </is>
      </c>
    </row>
    <row r="4">
      <c r="A4" s="19" t="inlineStr">
        <is>
          <t>Unique Patient Code</t>
        </is>
      </c>
      <c r="B4" s="19" t="inlineStr">
        <is>
          <t>Plan Date</t>
        </is>
      </c>
      <c r="C4" s="19" t="inlineStr">
        <is>
          <t>Line of Therapy</t>
        </is>
      </c>
      <c r="D4" s="19" t="inlineStr">
        <is>
          <t>Treatment Intent</t>
        </is>
      </c>
      <c r="E4" s="19" t="inlineStr">
        <is>
          <t>MDT / Tumour Board Status</t>
        </is>
      </c>
      <c r="F4" s="19" t="inlineStr">
        <is>
          <t>Date of MDT Review</t>
        </is>
      </c>
      <c r="G4" s="19" t="inlineStr">
        <is>
          <t>Reason for This Plan</t>
        </is>
      </c>
      <c r="H4" s="19" t="inlineStr">
        <is>
          <t>Plan Status</t>
        </is>
      </c>
      <c r="I4" s="19" t="inlineStr">
        <is>
          <t>Plan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2026-07-08T11:02:17Z</dcterms:created>
  <dcterms:modified xmlns:dcterms="http://purl.org/dc/terms/" xmlns:xsi="http://www.w3.org/2001/XMLSchema-instance" xsi:type="dcterms:W3CDTF">2026-07-10T08:27:45Z</dcterms:modified>
</cp:coreProperties>
</file>